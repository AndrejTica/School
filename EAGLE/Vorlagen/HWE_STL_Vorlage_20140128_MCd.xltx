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N:\HTBLuVA\FTKL\Vorlagen_2014\"/>
    </mc:Choice>
  </mc:AlternateContent>
  <bookViews>
    <workbookView xWindow="-15" yWindow="-15" windowWidth="14415" windowHeight="11760" tabRatio="727"/>
  </bookViews>
  <sheets>
    <sheet name="Eingabe" sheetId="2" r:id="rId1"/>
    <sheet name="Stückliste (1)" sheetId="1" r:id="rId2"/>
    <sheet name="Stückliste (2)" sheetId="16" r:id="rId3"/>
    <sheet name="Stückliste (3)" sheetId="17" r:id="rId4"/>
    <sheet name="Stückliste (4)" sheetId="18" r:id="rId5"/>
    <sheet name="Stückliste (5)" sheetId="19" r:id="rId6"/>
    <sheet name="Materialkalkulation (1)" sheetId="12" r:id="rId7"/>
    <sheet name="Materialkalkulation (2)" sheetId="13" r:id="rId8"/>
    <sheet name="Materialkalkulation (3)" sheetId="15" r:id="rId9"/>
  </sheets>
  <definedNames>
    <definedName name="_xlnm.Print_Area" localSheetId="0">Eingabe!$A$1:$O$130</definedName>
  </definedNames>
  <calcPr calcId="152511"/>
</workbook>
</file>

<file path=xl/calcChain.xml><?xml version="1.0" encoding="utf-8"?>
<calcChain xmlns="http://schemas.openxmlformats.org/spreadsheetml/2006/main">
  <c r="L2" i="2" l="1"/>
  <c r="AZ39" i="19" s="1"/>
  <c r="L48" i="15"/>
  <c r="L47" i="15"/>
  <c r="L46" i="15"/>
  <c r="L45" i="15"/>
  <c r="L44" i="15"/>
  <c r="L43" i="15"/>
  <c r="L42" i="15"/>
  <c r="L41" i="15"/>
  <c r="L40" i="15"/>
  <c r="L39" i="15"/>
  <c r="L38" i="15"/>
  <c r="L37" i="15"/>
  <c r="L36" i="15"/>
  <c r="L35" i="15"/>
  <c r="L34" i="15"/>
  <c r="L33"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L6" i="15"/>
  <c r="L5" i="15"/>
  <c r="L4" i="15"/>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BL63" i="15" s="1"/>
  <c r="L48" i="12"/>
  <c r="L47" i="12"/>
  <c r="L46" i="12"/>
  <c r="L45" i="12"/>
  <c r="L44" i="12"/>
  <c r="L43" i="12"/>
  <c r="L42" i="12"/>
  <c r="L41" i="12"/>
  <c r="L40" i="12"/>
  <c r="L39" i="12"/>
  <c r="L38" i="12"/>
  <c r="L37" i="12"/>
  <c r="L36" i="12"/>
  <c r="L35" i="12"/>
  <c r="L34" i="12"/>
  <c r="L33" i="12"/>
  <c r="L32" i="12"/>
  <c r="L31" i="12"/>
  <c r="L30" i="12"/>
  <c r="L29" i="12"/>
  <c r="L28" i="12"/>
  <c r="L27" i="12"/>
  <c r="L26" i="12"/>
  <c r="L25" i="12"/>
  <c r="L24" i="12"/>
  <c r="L23" i="12"/>
  <c r="L22" i="12"/>
  <c r="L21" i="12"/>
  <c r="L20" i="12"/>
  <c r="L19" i="12"/>
  <c r="L18" i="12"/>
  <c r="L17" i="12"/>
  <c r="L16" i="12"/>
  <c r="L15" i="12"/>
  <c r="L14" i="12"/>
  <c r="L13" i="12"/>
  <c r="L12" i="12"/>
  <c r="L11" i="12"/>
  <c r="L10" i="12"/>
  <c r="L9" i="12"/>
  <c r="L8" i="12"/>
  <c r="L7" i="12"/>
  <c r="L6" i="12"/>
  <c r="L5" i="12"/>
  <c r="L4" i="12"/>
  <c r="BE60" i="13"/>
  <c r="BE60" i="15"/>
  <c r="BE60" i="12"/>
  <c r="BB30" i="16"/>
  <c r="BB30" i="17"/>
  <c r="BB30" i="18"/>
  <c r="BB30" i="19"/>
  <c r="BB30" i="1"/>
  <c r="BE36" i="16"/>
  <c r="BE36" i="17"/>
  <c r="BE36" i="18"/>
  <c r="BE36" i="19"/>
  <c r="BE36" i="1"/>
  <c r="BL39" i="19"/>
  <c r="BL39" i="18"/>
  <c r="BL39" i="17"/>
  <c r="BL39" i="16"/>
  <c r="BL39" i="1"/>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L130" i="2"/>
  <c r="M130" i="2"/>
  <c r="L129" i="2"/>
  <c r="M129" i="2" s="1"/>
  <c r="L128" i="2"/>
  <c r="M128" i="2" s="1"/>
  <c r="L127" i="2"/>
  <c r="M127" i="2" s="1"/>
  <c r="L126" i="2"/>
  <c r="M126" i="2" s="1"/>
  <c r="L125" i="2"/>
  <c r="M125" i="2" s="1"/>
  <c r="L124" i="2"/>
  <c r="M124" i="2"/>
  <c r="L123" i="2"/>
  <c r="M123" i="2" s="1"/>
  <c r="L122" i="2"/>
  <c r="M122" i="2"/>
  <c r="L121" i="2"/>
  <c r="M121" i="2"/>
  <c r="L120" i="2"/>
  <c r="M120" i="2"/>
  <c r="L119" i="2"/>
  <c r="L118" i="2"/>
  <c r="M118" i="2"/>
  <c r="L117" i="2"/>
  <c r="M117" i="2" s="1"/>
  <c r="L116" i="2"/>
  <c r="M116" i="2"/>
  <c r="L115" i="2"/>
  <c r="M115" i="2" s="1"/>
  <c r="L114" i="2"/>
  <c r="L113" i="2"/>
  <c r="M113" i="2"/>
  <c r="L112" i="2"/>
  <c r="M112" i="2" s="1"/>
  <c r="L111" i="2"/>
  <c r="M111" i="2"/>
  <c r="L110" i="2"/>
  <c r="M110" i="2" s="1"/>
  <c r="L109" i="2"/>
  <c r="L108" i="2"/>
  <c r="M108" i="2"/>
  <c r="L107" i="2"/>
  <c r="M107" i="2"/>
  <c r="L106" i="2"/>
  <c r="M106" i="2"/>
  <c r="L105" i="2"/>
  <c r="M105" i="2" s="1"/>
  <c r="L104" i="2"/>
  <c r="M104" i="2"/>
  <c r="L103" i="2"/>
  <c r="L102" i="2"/>
  <c r="M102" i="2"/>
  <c r="L101" i="2"/>
  <c r="M101" i="2" s="1"/>
  <c r="L100" i="2"/>
  <c r="M100" i="2"/>
  <c r="L99" i="2"/>
  <c r="M99" i="2" s="1"/>
  <c r="L98" i="2"/>
  <c r="M98" i="2"/>
  <c r="L97" i="2"/>
  <c r="M97" i="2" s="1"/>
  <c r="L96" i="2"/>
  <c r="M96" i="2"/>
  <c r="L95" i="2"/>
  <c r="L94" i="2"/>
  <c r="M94" i="2"/>
  <c r="L93" i="2"/>
  <c r="M93" i="2"/>
  <c r="L92" i="2"/>
  <c r="M92" i="2" s="1"/>
  <c r="L91" i="2"/>
  <c r="M91" i="2"/>
  <c r="L90" i="2"/>
  <c r="L89" i="2"/>
  <c r="M89" i="2"/>
  <c r="L88" i="2"/>
  <c r="M88" i="2" s="1"/>
  <c r="L87" i="2"/>
  <c r="M87" i="2"/>
  <c r="L86" i="2"/>
  <c r="M86" i="2" s="1"/>
  <c r="L85" i="2"/>
  <c r="M85" i="2"/>
  <c r="L84" i="2"/>
  <c r="M84" i="2" s="1"/>
  <c r="L83" i="2"/>
  <c r="M83" i="2"/>
  <c r="L82" i="2"/>
  <c r="M82" i="2" s="1"/>
  <c r="L81" i="2"/>
  <c r="M81" i="2"/>
  <c r="L80" i="2"/>
  <c r="M80" i="2"/>
  <c r="L79" i="2"/>
  <c r="M79" i="2" s="1"/>
  <c r="L78" i="2"/>
  <c r="M78" i="2"/>
  <c r="L77" i="2"/>
  <c r="M77" i="2"/>
  <c r="L76" i="2"/>
  <c r="M76" i="2"/>
  <c r="L75" i="2"/>
  <c r="M75" i="2" s="1"/>
  <c r="L74" i="2"/>
  <c r="L73" i="2"/>
  <c r="M73" i="2" s="1"/>
  <c r="L72" i="2"/>
  <c r="M72" i="2"/>
  <c r="L71" i="2"/>
  <c r="M71" i="2" s="1"/>
  <c r="L70" i="2"/>
  <c r="M70" i="2" s="1"/>
  <c r="L69" i="2"/>
  <c r="L68" i="2"/>
  <c r="M68" i="2" s="1"/>
  <c r="L67" i="2"/>
  <c r="M67" i="2"/>
  <c r="L66" i="2"/>
  <c r="M66" i="2" s="1"/>
  <c r="L65" i="2"/>
  <c r="L64" i="2"/>
  <c r="M64" i="2"/>
  <c r="L63" i="2"/>
  <c r="L62" i="2"/>
  <c r="M62" i="2"/>
  <c r="L61" i="2"/>
  <c r="M61" i="2" s="1"/>
  <c r="L60" i="2"/>
  <c r="M60" i="2"/>
  <c r="L59" i="2"/>
  <c r="L58" i="2"/>
  <c r="M58" i="2"/>
  <c r="L57" i="2"/>
  <c r="M57" i="2"/>
  <c r="L56" i="2"/>
  <c r="M56" i="2" s="1"/>
  <c r="L55" i="2"/>
  <c r="L54" i="2"/>
  <c r="M54" i="2" s="1"/>
  <c r="L53" i="2"/>
  <c r="M53" i="2"/>
  <c r="L52" i="2"/>
  <c r="M52" i="2" s="1"/>
  <c r="L51" i="2"/>
  <c r="M51" i="2"/>
  <c r="L50" i="2"/>
  <c r="L49" i="2"/>
  <c r="M49" i="2"/>
  <c r="L48" i="2"/>
  <c r="M48" i="2"/>
  <c r="L47" i="2"/>
  <c r="M47" i="2" s="1"/>
  <c r="L46" i="2"/>
  <c r="M46" i="2"/>
  <c r="L45" i="2"/>
  <c r="L44" i="2"/>
  <c r="M44" i="2"/>
  <c r="L43" i="2"/>
  <c r="M43" i="2" s="1"/>
  <c r="L42" i="2"/>
  <c r="M42" i="2"/>
  <c r="L41" i="2"/>
  <c r="M41" i="2" s="1"/>
  <c r="L40" i="2"/>
  <c r="M40" i="2"/>
  <c r="L39" i="2"/>
  <c r="M39" i="2" s="1"/>
  <c r="L38" i="2"/>
  <c r="M38" i="2"/>
  <c r="L37" i="2"/>
  <c r="M37" i="2" s="1"/>
  <c r="L36" i="2"/>
  <c r="M36" i="2"/>
  <c r="L35" i="2"/>
  <c r="M35" i="2" s="1"/>
  <c r="L34" i="2"/>
  <c r="M34" i="2"/>
  <c r="L33" i="2"/>
  <c r="M33" i="2" s="1"/>
  <c r="L32" i="2"/>
  <c r="M32" i="2"/>
  <c r="L31" i="2"/>
  <c r="M31" i="2" s="1"/>
  <c r="L30" i="2"/>
  <c r="M30" i="2"/>
  <c r="L29" i="2"/>
  <c r="M29" i="2"/>
  <c r="L28" i="2"/>
  <c r="M28" i="2"/>
  <c r="L27" i="2"/>
  <c r="M27" i="2"/>
  <c r="L26" i="2"/>
  <c r="L25" i="2"/>
  <c r="M25" i="2"/>
  <c r="L24" i="2"/>
  <c r="M24" i="2" s="1"/>
  <c r="L23" i="2"/>
  <c r="M23" i="2"/>
  <c r="L22" i="2"/>
  <c r="M22" i="2" s="1"/>
  <c r="L21" i="2"/>
  <c r="M21" i="2"/>
  <c r="L20" i="2"/>
  <c r="M20" i="2" s="1"/>
  <c r="L19" i="2"/>
  <c r="M19" i="2"/>
  <c r="L18" i="2"/>
  <c r="M18" i="2" s="1"/>
  <c r="L17" i="2"/>
  <c r="M17" i="2"/>
  <c r="L16" i="2"/>
  <c r="M16" i="2" s="1"/>
  <c r="L15" i="2"/>
  <c r="M15" i="2"/>
  <c r="L14" i="2"/>
  <c r="M14" i="2" s="1"/>
  <c r="L13" i="2"/>
  <c r="M13" i="2"/>
  <c r="L12" i="2"/>
  <c r="M12" i="2"/>
  <c r="L11" i="2"/>
  <c r="M11" i="2"/>
  <c r="L10" i="2"/>
  <c r="M7" i="2" s="1"/>
  <c r="M10" i="2"/>
  <c r="L9" i="2"/>
  <c r="L8" i="2"/>
  <c r="A39" i="1"/>
  <c r="M114" i="2"/>
  <c r="M90" i="2"/>
  <c r="M74" i="2"/>
  <c r="M50" i="2"/>
  <c r="M26" i="2"/>
  <c r="O8" i="2"/>
  <c r="O130" i="2"/>
  <c r="O129" i="2"/>
  <c r="O128" i="2"/>
  <c r="O127" i="2"/>
  <c r="O126" i="2"/>
  <c r="O125" i="2"/>
  <c r="O124" i="2"/>
  <c r="O123" i="2"/>
  <c r="O122" i="2"/>
  <c r="O121" i="2"/>
  <c r="O120" i="2"/>
  <c r="O119" i="2"/>
  <c r="O118" i="2"/>
  <c r="O117" i="2"/>
  <c r="O116" i="2"/>
  <c r="O115" i="2"/>
  <c r="O114" i="2"/>
  <c r="O113" i="2"/>
  <c r="O112" i="2"/>
  <c r="O111" i="2"/>
  <c r="O110" i="2"/>
  <c r="O109" i="2"/>
  <c r="O108" i="2"/>
  <c r="O107" i="2"/>
  <c r="O106" i="2"/>
  <c r="O105" i="2"/>
  <c r="O104" i="2"/>
  <c r="O103" i="2"/>
  <c r="O102" i="2"/>
  <c r="O101" i="2"/>
  <c r="O100" i="2"/>
  <c r="O99" i="2"/>
  <c r="O98" i="2"/>
  <c r="O97" i="2"/>
  <c r="O96" i="2"/>
  <c r="O95" i="2"/>
  <c r="O94" i="2"/>
  <c r="O93" i="2"/>
  <c r="O92" i="2"/>
  <c r="O91" i="2"/>
  <c r="O90" i="2"/>
  <c r="O89" i="2"/>
  <c r="O88" i="2"/>
  <c r="O87" i="2"/>
  <c r="O86" i="2"/>
  <c r="O85" i="2"/>
  <c r="O84" i="2"/>
  <c r="O83" i="2"/>
  <c r="O82" i="2"/>
  <c r="O81" i="2"/>
  <c r="O80" i="2"/>
  <c r="O79" i="2"/>
  <c r="O78" i="2"/>
  <c r="O77" i="2"/>
  <c r="O76" i="2"/>
  <c r="O75" i="2"/>
  <c r="O74" i="2"/>
  <c r="O73" i="2"/>
  <c r="O72" i="2"/>
  <c r="O71" i="2"/>
  <c r="O70" i="2"/>
  <c r="O69" i="2"/>
  <c r="O68" i="2"/>
  <c r="O67" i="2"/>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O33" i="2"/>
  <c r="O32" i="2"/>
  <c r="O31" i="2"/>
  <c r="O30" i="2"/>
  <c r="O29" i="2"/>
  <c r="O28" i="2"/>
  <c r="O27" i="2"/>
  <c r="O26" i="2"/>
  <c r="O25" i="2"/>
  <c r="O24" i="2"/>
  <c r="O23" i="2"/>
  <c r="O22" i="2"/>
  <c r="O21" i="2"/>
  <c r="O20" i="2"/>
  <c r="O19" i="2"/>
  <c r="O18" i="2"/>
  <c r="O17" i="2"/>
  <c r="O16" i="2"/>
  <c r="O15" i="2"/>
  <c r="O14" i="2"/>
  <c r="O13" i="2"/>
  <c r="O12" i="2"/>
  <c r="O11" i="2"/>
  <c r="O10" i="2"/>
  <c r="O9" i="2"/>
  <c r="BE48" i="15"/>
  <c r="BE47" i="15"/>
  <c r="BE46" i="15"/>
  <c r="BE45" i="15"/>
  <c r="BE44" i="15"/>
  <c r="BE43" i="15"/>
  <c r="BE42" i="15"/>
  <c r="BE41" i="15"/>
  <c r="BE40" i="15"/>
  <c r="BE39" i="15"/>
  <c r="BE38" i="15"/>
  <c r="BE37" i="15"/>
  <c r="BE36" i="15"/>
  <c r="BE35" i="15"/>
  <c r="BE34" i="15"/>
  <c r="BE33" i="15"/>
  <c r="BE32" i="15"/>
  <c r="BE31" i="15"/>
  <c r="BE30" i="15"/>
  <c r="BE29" i="15"/>
  <c r="BE28" i="15"/>
  <c r="BE27" i="15"/>
  <c r="BE26" i="15"/>
  <c r="BE25" i="15"/>
  <c r="BE24" i="15"/>
  <c r="BE23" i="15"/>
  <c r="BE22" i="15"/>
  <c r="BE21" i="15"/>
  <c r="BE20" i="15"/>
  <c r="BE19" i="15"/>
  <c r="BE18" i="15"/>
  <c r="BE17" i="15"/>
  <c r="BE16" i="15"/>
  <c r="BE15" i="15"/>
  <c r="BE14" i="15"/>
  <c r="BE13" i="15"/>
  <c r="BE12" i="15"/>
  <c r="BE11" i="15"/>
  <c r="BE10" i="15"/>
  <c r="BE9" i="15"/>
  <c r="BE8" i="15"/>
  <c r="BE7" i="15"/>
  <c r="BE6" i="15"/>
  <c r="BE5" i="15"/>
  <c r="BE4" i="15"/>
  <c r="BE48" i="13"/>
  <c r="BE47" i="13"/>
  <c r="BE46" i="13"/>
  <c r="BE45" i="13"/>
  <c r="BE44" i="13"/>
  <c r="BE43" i="13"/>
  <c r="BE42" i="13"/>
  <c r="BE41" i="13"/>
  <c r="BE40" i="13"/>
  <c r="BE39" i="13"/>
  <c r="BE38" i="13"/>
  <c r="BE37" i="13"/>
  <c r="BE36" i="13"/>
  <c r="BE35" i="13"/>
  <c r="BE34" i="13"/>
  <c r="BE33" i="13"/>
  <c r="BE32" i="13"/>
  <c r="BE31" i="13"/>
  <c r="BE30" i="13"/>
  <c r="BE29" i="13"/>
  <c r="BE28" i="13"/>
  <c r="BE27" i="13"/>
  <c r="BE26" i="13"/>
  <c r="BE25" i="13"/>
  <c r="BE24" i="13"/>
  <c r="BE23" i="13"/>
  <c r="BE22" i="13"/>
  <c r="BE21" i="13"/>
  <c r="BE20" i="13"/>
  <c r="BE19" i="13"/>
  <c r="BE18" i="13"/>
  <c r="BE17" i="13"/>
  <c r="BE16" i="13"/>
  <c r="BE15" i="13"/>
  <c r="BE14" i="13"/>
  <c r="BE13" i="13"/>
  <c r="BE12" i="13"/>
  <c r="BE11" i="13"/>
  <c r="BE10" i="13"/>
  <c r="BE9" i="13"/>
  <c r="BE8" i="13"/>
  <c r="BE7" i="13"/>
  <c r="BE6" i="13"/>
  <c r="BE5" i="13"/>
  <c r="BE4" i="13"/>
  <c r="BE48" i="12"/>
  <c r="BE47" i="12"/>
  <c r="BE46" i="12"/>
  <c r="BE45" i="12"/>
  <c r="BE44" i="12"/>
  <c r="BE43" i="12"/>
  <c r="BE42" i="12"/>
  <c r="BE41" i="12"/>
  <c r="BE40" i="12"/>
  <c r="BE39" i="12"/>
  <c r="BE38" i="12"/>
  <c r="BE37" i="12"/>
  <c r="BE36" i="12"/>
  <c r="BE35" i="12"/>
  <c r="BE34" i="12"/>
  <c r="BE33" i="12"/>
  <c r="BE32" i="12"/>
  <c r="BE31" i="12"/>
  <c r="BE30" i="12"/>
  <c r="BE29" i="12"/>
  <c r="BE28" i="12"/>
  <c r="BE27" i="12"/>
  <c r="BE26" i="12"/>
  <c r="BE25" i="12"/>
  <c r="BE24" i="12"/>
  <c r="BE23" i="12"/>
  <c r="BE22" i="12"/>
  <c r="BE21" i="12"/>
  <c r="BE20" i="12"/>
  <c r="BE15" i="12"/>
  <c r="BE14" i="12"/>
  <c r="BE13" i="12"/>
  <c r="BE12" i="12"/>
  <c r="BE11" i="12"/>
  <c r="BE10" i="12"/>
  <c r="BE9" i="12"/>
  <c r="BE8" i="12"/>
  <c r="BE7" i="12"/>
  <c r="BE6" i="12"/>
  <c r="BE5" i="12"/>
  <c r="BE4" i="12"/>
  <c r="BJ48" i="15"/>
  <c r="BJ47" i="15"/>
  <c r="BJ46" i="15"/>
  <c r="BJ45" i="15"/>
  <c r="BJ44" i="15"/>
  <c r="BJ43" i="15"/>
  <c r="BJ42" i="15"/>
  <c r="BJ41" i="15"/>
  <c r="BJ40" i="15"/>
  <c r="BJ39" i="15"/>
  <c r="BJ38" i="15"/>
  <c r="BJ37" i="15"/>
  <c r="BJ36" i="15"/>
  <c r="BJ35" i="15"/>
  <c r="BJ34" i="15"/>
  <c r="BJ33" i="15"/>
  <c r="BJ32" i="15"/>
  <c r="BJ31" i="15"/>
  <c r="BJ30" i="15"/>
  <c r="BJ29" i="15"/>
  <c r="BJ28" i="15"/>
  <c r="BJ27" i="15"/>
  <c r="BJ26" i="15"/>
  <c r="BJ25" i="15"/>
  <c r="BJ24" i="15"/>
  <c r="BJ23" i="15"/>
  <c r="BJ22" i="15"/>
  <c r="BJ21" i="15"/>
  <c r="BJ20" i="15"/>
  <c r="BJ19" i="15"/>
  <c r="BJ18" i="15"/>
  <c r="BJ17" i="15"/>
  <c r="BJ16" i="15"/>
  <c r="BJ15" i="15"/>
  <c r="BJ14" i="15"/>
  <c r="BJ13" i="15"/>
  <c r="BJ12" i="15"/>
  <c r="BJ11" i="15"/>
  <c r="BJ10" i="15"/>
  <c r="BJ9" i="15"/>
  <c r="BJ8" i="15"/>
  <c r="BJ7" i="15"/>
  <c r="BJ6" i="15"/>
  <c r="BJ5" i="15"/>
  <c r="BE50" i="15" s="1"/>
  <c r="BE51" i="15" s="1"/>
  <c r="BJ4" i="15"/>
  <c r="BJ48" i="13"/>
  <c r="BJ47" i="13"/>
  <c r="BJ46" i="13"/>
  <c r="BJ45" i="13"/>
  <c r="BJ44" i="13"/>
  <c r="BJ43" i="13"/>
  <c r="BJ42" i="13"/>
  <c r="BJ41" i="13"/>
  <c r="BJ40" i="13"/>
  <c r="BJ39" i="13"/>
  <c r="BJ38" i="13"/>
  <c r="BJ37" i="13"/>
  <c r="BJ36" i="13"/>
  <c r="BJ35" i="13"/>
  <c r="BJ34" i="13"/>
  <c r="BJ33" i="13"/>
  <c r="BJ32" i="13"/>
  <c r="BJ31" i="13"/>
  <c r="BJ30" i="13"/>
  <c r="BJ29" i="13"/>
  <c r="BJ28" i="13"/>
  <c r="BJ27" i="13"/>
  <c r="BJ26" i="13"/>
  <c r="BJ25" i="13"/>
  <c r="BJ24" i="13"/>
  <c r="BJ23" i="13"/>
  <c r="BJ22" i="13"/>
  <c r="BJ21" i="13"/>
  <c r="BJ20" i="13"/>
  <c r="BJ19" i="13"/>
  <c r="BJ18" i="13"/>
  <c r="BJ17" i="13"/>
  <c r="BJ16" i="13"/>
  <c r="BJ15" i="13"/>
  <c r="BJ14" i="13"/>
  <c r="BJ13" i="13"/>
  <c r="BJ12" i="13"/>
  <c r="BJ11" i="13"/>
  <c r="BJ10" i="13"/>
  <c r="BJ9" i="13"/>
  <c r="BJ8" i="13"/>
  <c r="BJ7" i="13"/>
  <c r="BJ6" i="13"/>
  <c r="BJ5" i="13"/>
  <c r="BJ4" i="13"/>
  <c r="BE50" i="13" s="1"/>
  <c r="BE51" i="13" s="1"/>
  <c r="BJ48" i="12"/>
  <c r="BJ47" i="12"/>
  <c r="BJ46" i="12"/>
  <c r="BJ45" i="12"/>
  <c r="BJ44" i="12"/>
  <c r="BJ43" i="12"/>
  <c r="BJ42" i="12"/>
  <c r="BJ41" i="12"/>
  <c r="BJ40" i="12"/>
  <c r="BJ39" i="12"/>
  <c r="BJ38" i="12"/>
  <c r="BJ37" i="12"/>
  <c r="BJ36" i="12"/>
  <c r="BJ35" i="12"/>
  <c r="BJ34" i="12"/>
  <c r="BJ33" i="12"/>
  <c r="BJ32" i="12"/>
  <c r="BJ31" i="12"/>
  <c r="BJ30" i="12"/>
  <c r="BJ29" i="12"/>
  <c r="BJ28" i="12"/>
  <c r="BJ27" i="12"/>
  <c r="BJ26" i="12"/>
  <c r="BJ25" i="12"/>
  <c r="BJ24" i="12"/>
  <c r="BJ23" i="12"/>
  <c r="BJ22" i="12"/>
  <c r="BJ21" i="12"/>
  <c r="BJ20" i="12"/>
  <c r="BJ15" i="12"/>
  <c r="BJ14" i="12"/>
  <c r="BJ13" i="12"/>
  <c r="BJ12" i="12"/>
  <c r="BJ11" i="12"/>
  <c r="BJ10" i="12"/>
  <c r="BJ9" i="12"/>
  <c r="BJ8" i="12"/>
  <c r="BJ7" i="12"/>
  <c r="BJ6" i="12"/>
  <c r="BJ5" i="12"/>
  <c r="BJ4" i="12"/>
  <c r="BE50" i="12" s="1"/>
  <c r="BJ16" i="12"/>
  <c r="BE16" i="12"/>
  <c r="A54" i="15"/>
  <c r="A54" i="13"/>
  <c r="A54" i="12"/>
  <c r="A30" i="19"/>
  <c r="A30" i="18"/>
  <c r="A30" i="17"/>
  <c r="A30" i="16"/>
  <c r="A30" i="1"/>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5" i="15"/>
  <c r="AH4" i="15"/>
  <c r="AH6" i="13"/>
  <c r="AH7" i="13"/>
  <c r="AH8" i="13"/>
  <c r="AH9" i="13"/>
  <c r="AH10" i="13"/>
  <c r="AH11" i="13"/>
  <c r="AH12" i="13"/>
  <c r="AH13" i="13"/>
  <c r="AH14" i="13"/>
  <c r="AH15" i="13"/>
  <c r="AH16" i="13"/>
  <c r="AH17" i="13"/>
  <c r="AH18" i="13"/>
  <c r="AH19" i="13"/>
  <c r="AH20" i="13"/>
  <c r="AH21" i="13"/>
  <c r="AH22" i="13"/>
  <c r="AH23" i="13"/>
  <c r="AH24" i="13"/>
  <c r="AH25" i="13"/>
  <c r="AH26" i="13"/>
  <c r="AH27" i="13"/>
  <c r="AH28" i="13"/>
  <c r="AH29" i="13"/>
  <c r="AH30" i="13"/>
  <c r="AH31" i="13"/>
  <c r="AH32" i="13"/>
  <c r="AH33" i="13"/>
  <c r="AH34" i="13"/>
  <c r="AH35" i="13"/>
  <c r="AH36" i="13"/>
  <c r="AH37" i="13"/>
  <c r="AH38" i="13"/>
  <c r="AH39" i="13"/>
  <c r="AH40" i="13"/>
  <c r="AH41" i="13"/>
  <c r="AH42" i="13"/>
  <c r="AH43" i="13"/>
  <c r="AH44" i="13"/>
  <c r="AH45" i="13"/>
  <c r="AH46" i="13"/>
  <c r="AH47" i="13"/>
  <c r="AH48" i="13"/>
  <c r="AH5" i="13"/>
  <c r="AH4" i="13"/>
  <c r="AH6" i="12"/>
  <c r="AH7"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5" i="12"/>
  <c r="AH4" i="12"/>
  <c r="AG6" i="19"/>
  <c r="AG7" i="19"/>
  <c r="AG8" i="19"/>
  <c r="AG9" i="19"/>
  <c r="AG10" i="19"/>
  <c r="AG11" i="19"/>
  <c r="AG12" i="19"/>
  <c r="AG13" i="19"/>
  <c r="AG14" i="19"/>
  <c r="AG15" i="19"/>
  <c r="AG16" i="19"/>
  <c r="AG17" i="19"/>
  <c r="AG18" i="19"/>
  <c r="AG19" i="19"/>
  <c r="AG20" i="19"/>
  <c r="AG21" i="19"/>
  <c r="AG22" i="19"/>
  <c r="AG23" i="19"/>
  <c r="AG24" i="19"/>
  <c r="AG25" i="19"/>
  <c r="AG26" i="19"/>
  <c r="AG27" i="19"/>
  <c r="AG28" i="19"/>
  <c r="AG5" i="19"/>
  <c r="AG4" i="19"/>
  <c r="M6" i="19"/>
  <c r="M7" i="19"/>
  <c r="M8" i="19"/>
  <c r="M9" i="19"/>
  <c r="M10" i="19"/>
  <c r="M11" i="19"/>
  <c r="M12" i="19"/>
  <c r="M13" i="19"/>
  <c r="M14" i="19"/>
  <c r="M15" i="19"/>
  <c r="M16" i="19"/>
  <c r="M17" i="19"/>
  <c r="M18" i="19"/>
  <c r="M19" i="19"/>
  <c r="M20" i="19"/>
  <c r="M21" i="19"/>
  <c r="M22" i="19"/>
  <c r="M23" i="19"/>
  <c r="M24" i="19"/>
  <c r="M25" i="19"/>
  <c r="M26" i="19"/>
  <c r="M27" i="19"/>
  <c r="M28" i="19"/>
  <c r="M5" i="19"/>
  <c r="M4" i="19"/>
  <c r="AG6" i="18"/>
  <c r="AG7" i="18"/>
  <c r="AG8" i="18"/>
  <c r="AG9" i="18"/>
  <c r="AG10" i="18"/>
  <c r="AG11" i="18"/>
  <c r="AG12" i="18"/>
  <c r="AG13" i="18"/>
  <c r="AG14" i="18"/>
  <c r="AG15" i="18"/>
  <c r="AG16" i="18"/>
  <c r="AG17" i="18"/>
  <c r="AG18" i="18"/>
  <c r="AG19" i="18"/>
  <c r="AG20" i="18"/>
  <c r="AG21" i="18"/>
  <c r="AG22" i="18"/>
  <c r="AG23" i="18"/>
  <c r="AG24" i="18"/>
  <c r="AG25" i="18"/>
  <c r="AG26" i="18"/>
  <c r="AG27" i="18"/>
  <c r="AG28" i="18"/>
  <c r="AG5" i="18"/>
  <c r="AG4" i="18"/>
  <c r="M6" i="18"/>
  <c r="M7" i="18"/>
  <c r="M8" i="18"/>
  <c r="M9" i="18"/>
  <c r="M10" i="18"/>
  <c r="M11" i="18"/>
  <c r="M12" i="18"/>
  <c r="M13" i="18"/>
  <c r="M14" i="18"/>
  <c r="M15" i="18"/>
  <c r="M16" i="18"/>
  <c r="M17" i="18"/>
  <c r="M18" i="18"/>
  <c r="M19" i="18"/>
  <c r="M20" i="18"/>
  <c r="M21" i="18"/>
  <c r="M22" i="18"/>
  <c r="M23" i="18"/>
  <c r="M24" i="18"/>
  <c r="M25" i="18"/>
  <c r="M26" i="18"/>
  <c r="M27" i="18"/>
  <c r="M28" i="18"/>
  <c r="M5" i="18"/>
  <c r="M4" i="18"/>
  <c r="AG6" i="17"/>
  <c r="AG7" i="17"/>
  <c r="AG8" i="17"/>
  <c r="AG9" i="17"/>
  <c r="AG10" i="17"/>
  <c r="AG11" i="17"/>
  <c r="AG12" i="17"/>
  <c r="AG13" i="17"/>
  <c r="AG14" i="17"/>
  <c r="AG15" i="17"/>
  <c r="AG16" i="17"/>
  <c r="AG17" i="17"/>
  <c r="AG18" i="17"/>
  <c r="AG19" i="17"/>
  <c r="AG20" i="17"/>
  <c r="AG21" i="17"/>
  <c r="AG22" i="17"/>
  <c r="AG23" i="17"/>
  <c r="AG24" i="17"/>
  <c r="AG25" i="17"/>
  <c r="AG26" i="17"/>
  <c r="AG27" i="17"/>
  <c r="AG28" i="17"/>
  <c r="AG5" i="17"/>
  <c r="AG4" i="17"/>
  <c r="M6" i="17"/>
  <c r="M7" i="17"/>
  <c r="M8" i="17"/>
  <c r="M9" i="17"/>
  <c r="M10" i="17"/>
  <c r="M11" i="17"/>
  <c r="M12" i="17"/>
  <c r="M13" i="17"/>
  <c r="M14" i="17"/>
  <c r="M15" i="17"/>
  <c r="M16" i="17"/>
  <c r="M17" i="17"/>
  <c r="M18" i="17"/>
  <c r="M19" i="17"/>
  <c r="M20" i="17"/>
  <c r="M21" i="17"/>
  <c r="M22" i="17"/>
  <c r="M23" i="17"/>
  <c r="M24" i="17"/>
  <c r="M25" i="17"/>
  <c r="M26" i="17"/>
  <c r="M27" i="17"/>
  <c r="M28" i="17"/>
  <c r="M5" i="17"/>
  <c r="M4" i="17"/>
  <c r="AG6" i="16"/>
  <c r="AG7" i="16"/>
  <c r="AG8" i="16"/>
  <c r="AG9" i="16"/>
  <c r="AG10" i="16"/>
  <c r="AG11" i="16"/>
  <c r="AG12" i="16"/>
  <c r="AG13" i="16"/>
  <c r="AG14" i="16"/>
  <c r="AG15" i="16"/>
  <c r="AG16" i="16"/>
  <c r="AG17" i="16"/>
  <c r="AG18" i="16"/>
  <c r="AG19" i="16"/>
  <c r="AG20" i="16"/>
  <c r="AG21" i="16"/>
  <c r="AG22" i="16"/>
  <c r="AG23" i="16"/>
  <c r="AG24" i="16"/>
  <c r="AG25" i="16"/>
  <c r="AG26" i="16"/>
  <c r="AG27" i="16"/>
  <c r="AG28" i="16"/>
  <c r="M6" i="16"/>
  <c r="M7" i="16"/>
  <c r="M8" i="16"/>
  <c r="M9" i="16"/>
  <c r="M10" i="16"/>
  <c r="M11" i="16"/>
  <c r="M12" i="16"/>
  <c r="M13" i="16"/>
  <c r="M14" i="16"/>
  <c r="M15" i="16"/>
  <c r="M16" i="16"/>
  <c r="M17" i="16"/>
  <c r="M18" i="16"/>
  <c r="M19" i="16"/>
  <c r="M20" i="16"/>
  <c r="M21" i="16"/>
  <c r="M22" i="16"/>
  <c r="M23" i="16"/>
  <c r="M24" i="16"/>
  <c r="M25" i="16"/>
  <c r="M26" i="16"/>
  <c r="M27" i="16"/>
  <c r="M28" i="16"/>
  <c r="AG5" i="16"/>
  <c r="AG4" i="16"/>
  <c r="M5" i="16"/>
  <c r="M4" i="16"/>
  <c r="AG6" i="1"/>
  <c r="AG7" i="1"/>
  <c r="AG8" i="1"/>
  <c r="AG9" i="1"/>
  <c r="AG10" i="1"/>
  <c r="AG11" i="1"/>
  <c r="AG12" i="1"/>
  <c r="AG13" i="1"/>
  <c r="AG14" i="1"/>
  <c r="AG15" i="1"/>
  <c r="AG16" i="1"/>
  <c r="AG17" i="1"/>
  <c r="AG18" i="1"/>
  <c r="AG19" i="1"/>
  <c r="AG20" i="1"/>
  <c r="AG21" i="1"/>
  <c r="AG22" i="1"/>
  <c r="AG23" i="1"/>
  <c r="AG24" i="1"/>
  <c r="AG25" i="1"/>
  <c r="AG26" i="1"/>
  <c r="AG27" i="1"/>
  <c r="AG28" i="1"/>
  <c r="AG5" i="1"/>
  <c r="AG4" i="1"/>
  <c r="M6" i="1"/>
  <c r="M7" i="1"/>
  <c r="M8" i="1"/>
  <c r="M9" i="1"/>
  <c r="M10" i="1"/>
  <c r="M11" i="1"/>
  <c r="M12" i="1"/>
  <c r="M13" i="1"/>
  <c r="M14" i="1"/>
  <c r="M15" i="1"/>
  <c r="M16" i="1"/>
  <c r="M17" i="1"/>
  <c r="M18" i="1"/>
  <c r="M19" i="1"/>
  <c r="M20" i="1"/>
  <c r="M21" i="1"/>
  <c r="M22" i="1"/>
  <c r="M23" i="1"/>
  <c r="M24" i="1"/>
  <c r="M25" i="1"/>
  <c r="M26" i="1"/>
  <c r="M27" i="1"/>
  <c r="M28" i="1"/>
  <c r="M5" i="1"/>
  <c r="M4" i="1"/>
  <c r="AH2" i="13"/>
  <c r="AH2" i="15"/>
  <c r="AH2" i="12"/>
  <c r="L2" i="13"/>
  <c r="L2" i="15"/>
  <c r="L2" i="12"/>
  <c r="H2" i="13"/>
  <c r="H2" i="15"/>
  <c r="H2" i="12"/>
  <c r="D2" i="13"/>
  <c r="D2" i="15"/>
  <c r="D2" i="12"/>
  <c r="A2" i="13"/>
  <c r="A2" i="15"/>
  <c r="A2" i="12"/>
  <c r="BB2" i="16"/>
  <c r="BB2" i="17"/>
  <c r="BB2" i="18"/>
  <c r="BB2" i="19"/>
  <c r="BB2" i="1"/>
  <c r="AX2" i="16"/>
  <c r="AX2" i="17"/>
  <c r="AX2" i="18"/>
  <c r="AX2" i="19"/>
  <c r="AX2" i="1"/>
  <c r="AG2" i="16"/>
  <c r="AG2" i="17"/>
  <c r="AG2" i="18"/>
  <c r="AG2" i="19"/>
  <c r="AG2" i="1"/>
  <c r="M2" i="16"/>
  <c r="M2" i="17"/>
  <c r="M2" i="18"/>
  <c r="M2" i="19"/>
  <c r="M2" i="1"/>
  <c r="I2" i="1"/>
  <c r="I2" i="16"/>
  <c r="I2" i="17"/>
  <c r="I2" i="18"/>
  <c r="I2" i="19"/>
  <c r="E2" i="1"/>
  <c r="E2" i="16"/>
  <c r="E2" i="17"/>
  <c r="E2" i="18"/>
  <c r="E2" i="19"/>
  <c r="A2" i="16"/>
  <c r="A2" i="17"/>
  <c r="A2" i="18"/>
  <c r="A2" i="19"/>
  <c r="A2" i="1"/>
  <c r="A63" i="13"/>
  <c r="A63" i="15"/>
  <c r="A63" i="12"/>
  <c r="A39" i="16"/>
  <c r="A39" i="17"/>
  <c r="A39" i="18"/>
  <c r="A39" i="19"/>
  <c r="W63" i="15"/>
  <c r="W60" i="15"/>
  <c r="W63" i="13"/>
  <c r="W60" i="13"/>
  <c r="W63" i="12"/>
  <c r="W60" i="12"/>
  <c r="H48" i="15"/>
  <c r="D48" i="15"/>
  <c r="A48" i="15"/>
  <c r="H47" i="15"/>
  <c r="D47" i="15"/>
  <c r="A47" i="15"/>
  <c r="H46" i="15"/>
  <c r="D46" i="15"/>
  <c r="A46" i="15"/>
  <c r="H45" i="15"/>
  <c r="D45" i="15"/>
  <c r="A45" i="15"/>
  <c r="H44" i="15"/>
  <c r="D44" i="15"/>
  <c r="A44" i="15"/>
  <c r="H43" i="15"/>
  <c r="D43" i="15"/>
  <c r="A43" i="15"/>
  <c r="H42" i="15"/>
  <c r="D42" i="15"/>
  <c r="A42" i="15"/>
  <c r="H41" i="15"/>
  <c r="D41" i="15"/>
  <c r="A41" i="15"/>
  <c r="H40" i="15"/>
  <c r="D40" i="15"/>
  <c r="A40" i="15"/>
  <c r="H39" i="15"/>
  <c r="D39" i="15"/>
  <c r="A39" i="15"/>
  <c r="H38" i="15"/>
  <c r="D38" i="15"/>
  <c r="A38" i="15"/>
  <c r="H37" i="15"/>
  <c r="D37" i="15"/>
  <c r="A37" i="15"/>
  <c r="H36" i="15"/>
  <c r="D36" i="15"/>
  <c r="H35" i="15"/>
  <c r="D35" i="15"/>
  <c r="H34" i="15"/>
  <c r="D34" i="15"/>
  <c r="H33" i="15"/>
  <c r="D33" i="15"/>
  <c r="H32" i="15"/>
  <c r="D32" i="15"/>
  <c r="H31" i="15"/>
  <c r="D31" i="15"/>
  <c r="H30" i="15"/>
  <c r="D30" i="15"/>
  <c r="H29" i="15"/>
  <c r="D29" i="15"/>
  <c r="H28" i="15"/>
  <c r="D28" i="15"/>
  <c r="H27" i="15"/>
  <c r="D27" i="15"/>
  <c r="H26" i="15"/>
  <c r="D26" i="15"/>
  <c r="H25" i="15"/>
  <c r="D25" i="15"/>
  <c r="H24" i="15"/>
  <c r="D24" i="15"/>
  <c r="H23" i="15"/>
  <c r="D23" i="15"/>
  <c r="H22" i="15"/>
  <c r="D22" i="15"/>
  <c r="H21" i="15"/>
  <c r="D21" i="15"/>
  <c r="H20" i="15"/>
  <c r="D20" i="15"/>
  <c r="H19" i="15"/>
  <c r="D19" i="15"/>
  <c r="H18" i="15"/>
  <c r="D18" i="15"/>
  <c r="H17" i="15"/>
  <c r="D17" i="15"/>
  <c r="H16" i="15"/>
  <c r="D16" i="15"/>
  <c r="H15" i="15"/>
  <c r="D15" i="15"/>
  <c r="H14" i="15"/>
  <c r="D14" i="15"/>
  <c r="H13" i="15"/>
  <c r="D13" i="15"/>
  <c r="H12" i="15"/>
  <c r="D12" i="15"/>
  <c r="H11" i="15"/>
  <c r="D11" i="15"/>
  <c r="H10" i="15"/>
  <c r="D10" i="15"/>
  <c r="H9" i="15"/>
  <c r="D9" i="15"/>
  <c r="H8" i="15"/>
  <c r="D8" i="15"/>
  <c r="H7" i="15"/>
  <c r="D7" i="15"/>
  <c r="H6" i="15"/>
  <c r="D6" i="15"/>
  <c r="H5" i="15"/>
  <c r="D5" i="15"/>
  <c r="H4" i="15"/>
  <c r="D4" i="15"/>
  <c r="H48" i="13"/>
  <c r="D48" i="13"/>
  <c r="H47" i="13"/>
  <c r="D47" i="13"/>
  <c r="H46" i="13"/>
  <c r="D46" i="13"/>
  <c r="H45" i="13"/>
  <c r="D45" i="13"/>
  <c r="H44" i="13"/>
  <c r="D44" i="13"/>
  <c r="H43" i="13"/>
  <c r="D43" i="13"/>
  <c r="H42" i="13"/>
  <c r="D42" i="13"/>
  <c r="H41" i="13"/>
  <c r="D41" i="13"/>
  <c r="H40" i="13"/>
  <c r="D40" i="13"/>
  <c r="H39" i="13"/>
  <c r="D39" i="13"/>
  <c r="H38" i="13"/>
  <c r="D38" i="13"/>
  <c r="H37" i="13"/>
  <c r="D37" i="13"/>
  <c r="H36" i="13"/>
  <c r="D36" i="13"/>
  <c r="H35" i="13"/>
  <c r="D35" i="13"/>
  <c r="H34" i="13"/>
  <c r="D34" i="13"/>
  <c r="H33" i="13"/>
  <c r="D33" i="13"/>
  <c r="H32" i="13"/>
  <c r="D32" i="13"/>
  <c r="H31" i="13"/>
  <c r="D31" i="13"/>
  <c r="H30" i="13"/>
  <c r="D30" i="13"/>
  <c r="H29" i="13"/>
  <c r="D29" i="13"/>
  <c r="H28" i="13"/>
  <c r="D28" i="13"/>
  <c r="H27" i="13"/>
  <c r="D27" i="13"/>
  <c r="H26" i="13"/>
  <c r="D26" i="13"/>
  <c r="H25" i="13"/>
  <c r="D25" i="13"/>
  <c r="H24" i="13"/>
  <c r="D24" i="13"/>
  <c r="H23" i="13"/>
  <c r="D23" i="13"/>
  <c r="H22" i="13"/>
  <c r="D22" i="13"/>
  <c r="H21" i="13"/>
  <c r="D21" i="13"/>
  <c r="H20" i="13"/>
  <c r="D20" i="13"/>
  <c r="H19" i="13"/>
  <c r="D19" i="13"/>
  <c r="H18" i="13"/>
  <c r="D18" i="13"/>
  <c r="H17" i="13"/>
  <c r="D17" i="13"/>
  <c r="H16" i="13"/>
  <c r="D16" i="13"/>
  <c r="H15" i="13"/>
  <c r="D15" i="13"/>
  <c r="H14" i="13"/>
  <c r="D14" i="13"/>
  <c r="H13" i="13"/>
  <c r="D13" i="13"/>
  <c r="H12" i="13"/>
  <c r="D12" i="13"/>
  <c r="H11" i="13"/>
  <c r="D11" i="13"/>
  <c r="H10" i="13"/>
  <c r="D10" i="13"/>
  <c r="H9" i="13"/>
  <c r="D9" i="13"/>
  <c r="H8" i="13"/>
  <c r="D8" i="13"/>
  <c r="H7" i="13"/>
  <c r="D7" i="13"/>
  <c r="H6" i="13"/>
  <c r="D6" i="13"/>
  <c r="H5" i="13"/>
  <c r="D5" i="13"/>
  <c r="BL63" i="13"/>
  <c r="H4" i="13"/>
  <c r="D4" i="13"/>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5" i="12"/>
  <c r="D6"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BB28" i="19"/>
  <c r="AX28" i="19"/>
  <c r="I28" i="19"/>
  <c r="E28" i="19"/>
  <c r="A28" i="19"/>
  <c r="BB27" i="19"/>
  <c r="AX27" i="19"/>
  <c r="I27" i="19"/>
  <c r="E27" i="19"/>
  <c r="A27" i="19"/>
  <c r="BB26" i="19"/>
  <c r="AX26" i="19"/>
  <c r="I26" i="19"/>
  <c r="E26" i="19"/>
  <c r="BB25" i="19"/>
  <c r="AX25" i="19"/>
  <c r="I25" i="19"/>
  <c r="E25" i="19"/>
  <c r="BB24" i="19"/>
  <c r="AX24" i="19"/>
  <c r="I24" i="19"/>
  <c r="E24" i="19"/>
  <c r="BB23" i="19"/>
  <c r="AX23" i="19"/>
  <c r="I23" i="19"/>
  <c r="E23" i="19"/>
  <c r="BB22" i="19"/>
  <c r="AX22" i="19"/>
  <c r="I22" i="19"/>
  <c r="E22" i="19"/>
  <c r="BB21" i="19"/>
  <c r="AX21" i="19"/>
  <c r="I21" i="19"/>
  <c r="E21" i="19"/>
  <c r="BB20" i="19"/>
  <c r="AX20" i="19"/>
  <c r="I20" i="19"/>
  <c r="E20" i="19"/>
  <c r="BB19" i="19"/>
  <c r="AX19" i="19"/>
  <c r="I19" i="19"/>
  <c r="E19" i="19"/>
  <c r="BB18" i="19"/>
  <c r="AX18" i="19"/>
  <c r="I18" i="19"/>
  <c r="E18" i="19"/>
  <c r="BB17" i="19"/>
  <c r="AX17" i="19"/>
  <c r="I17" i="19"/>
  <c r="E17" i="19"/>
  <c r="BB16" i="19"/>
  <c r="AX16" i="19"/>
  <c r="I16" i="19"/>
  <c r="E16" i="19"/>
  <c r="BB15" i="19"/>
  <c r="AX15" i="19"/>
  <c r="I15" i="19"/>
  <c r="E15" i="19"/>
  <c r="BB14" i="19"/>
  <c r="AX14" i="19"/>
  <c r="I14" i="19"/>
  <c r="E14" i="19"/>
  <c r="BB13" i="19"/>
  <c r="AX13" i="19"/>
  <c r="I13" i="19"/>
  <c r="E13" i="19"/>
  <c r="BB12" i="19"/>
  <c r="AX12" i="19"/>
  <c r="I12" i="19"/>
  <c r="E12" i="19"/>
  <c r="BB11" i="19"/>
  <c r="AX11" i="19"/>
  <c r="I11" i="19"/>
  <c r="E11" i="19"/>
  <c r="BB10" i="19"/>
  <c r="AX10" i="19"/>
  <c r="I10" i="19"/>
  <c r="E10" i="19"/>
  <c r="BB9" i="19"/>
  <c r="AX9" i="19"/>
  <c r="I9" i="19"/>
  <c r="E9" i="19"/>
  <c r="BB8" i="19"/>
  <c r="AX8" i="19"/>
  <c r="I8" i="19"/>
  <c r="E8" i="19"/>
  <c r="BB7" i="19"/>
  <c r="AX7" i="19"/>
  <c r="I7" i="19"/>
  <c r="E7" i="19"/>
  <c r="BB6" i="19"/>
  <c r="AX6" i="19"/>
  <c r="I6" i="19"/>
  <c r="E6" i="19"/>
  <c r="BB5" i="19"/>
  <c r="AX5" i="19"/>
  <c r="I5" i="19"/>
  <c r="E5" i="19"/>
  <c r="BB4" i="19"/>
  <c r="AX4" i="19"/>
  <c r="I4" i="19"/>
  <c r="E4" i="19"/>
  <c r="BB28" i="18"/>
  <c r="AX28" i="18"/>
  <c r="I28" i="18"/>
  <c r="E28" i="18"/>
  <c r="BB27" i="18"/>
  <c r="AX27" i="18"/>
  <c r="I27" i="18"/>
  <c r="E27" i="18"/>
  <c r="BB26" i="18"/>
  <c r="AX26" i="18"/>
  <c r="I26" i="18"/>
  <c r="E26" i="18"/>
  <c r="BB25" i="18"/>
  <c r="AX25" i="18"/>
  <c r="I25" i="18"/>
  <c r="E25" i="18"/>
  <c r="BB24" i="18"/>
  <c r="AX24" i="18"/>
  <c r="I24" i="18"/>
  <c r="E24" i="18"/>
  <c r="BB23" i="18"/>
  <c r="AX23" i="18"/>
  <c r="I23" i="18"/>
  <c r="E23" i="18"/>
  <c r="BB22" i="18"/>
  <c r="AX22" i="18"/>
  <c r="I22" i="18"/>
  <c r="E22" i="18"/>
  <c r="BB21" i="18"/>
  <c r="AX21" i="18"/>
  <c r="I21" i="18"/>
  <c r="E21" i="18"/>
  <c r="BB20" i="18"/>
  <c r="AX20" i="18"/>
  <c r="I20" i="18"/>
  <c r="E20" i="18"/>
  <c r="BB19" i="18"/>
  <c r="AX19" i="18"/>
  <c r="I19" i="18"/>
  <c r="E19" i="18"/>
  <c r="BB18" i="18"/>
  <c r="AX18" i="18"/>
  <c r="I18" i="18"/>
  <c r="E18" i="18"/>
  <c r="BB17" i="18"/>
  <c r="AX17" i="18"/>
  <c r="I17" i="18"/>
  <c r="E17" i="18"/>
  <c r="BB16" i="18"/>
  <c r="AX16" i="18"/>
  <c r="I16" i="18"/>
  <c r="E16" i="18"/>
  <c r="BB15" i="18"/>
  <c r="AX15" i="18"/>
  <c r="I15" i="18"/>
  <c r="E15" i="18"/>
  <c r="BB14" i="18"/>
  <c r="AX14" i="18"/>
  <c r="I14" i="18"/>
  <c r="E14" i="18"/>
  <c r="BB13" i="18"/>
  <c r="AX13" i="18"/>
  <c r="I13" i="18"/>
  <c r="E13" i="18"/>
  <c r="BB12" i="18"/>
  <c r="AX12" i="18"/>
  <c r="I12" i="18"/>
  <c r="E12" i="18"/>
  <c r="BB11" i="18"/>
  <c r="AX11" i="18"/>
  <c r="I11" i="18"/>
  <c r="E11" i="18"/>
  <c r="BB10" i="18"/>
  <c r="AX10" i="18"/>
  <c r="I10" i="18"/>
  <c r="E10" i="18"/>
  <c r="BB9" i="18"/>
  <c r="AX9" i="18"/>
  <c r="I9" i="18"/>
  <c r="E9" i="18"/>
  <c r="BB8" i="18"/>
  <c r="AX8" i="18"/>
  <c r="I8" i="18"/>
  <c r="E8" i="18"/>
  <c r="BB7" i="18"/>
  <c r="AX7" i="18"/>
  <c r="I7" i="18"/>
  <c r="E7" i="18"/>
  <c r="BB6" i="18"/>
  <c r="AX6" i="18"/>
  <c r="I6" i="18"/>
  <c r="E6" i="18"/>
  <c r="BB5" i="18"/>
  <c r="AX5" i="18"/>
  <c r="I5" i="18"/>
  <c r="E5" i="18"/>
  <c r="BB4" i="18"/>
  <c r="AX4" i="18"/>
  <c r="I4" i="18"/>
  <c r="E4" i="18"/>
  <c r="BB28" i="17"/>
  <c r="AX28" i="17"/>
  <c r="I28" i="17"/>
  <c r="E28" i="17"/>
  <c r="BB27" i="17"/>
  <c r="AX27" i="17"/>
  <c r="I27" i="17"/>
  <c r="E27" i="17"/>
  <c r="BB26" i="17"/>
  <c r="AX26" i="17"/>
  <c r="I26" i="17"/>
  <c r="E26" i="17"/>
  <c r="BB25" i="17"/>
  <c r="AX25" i="17"/>
  <c r="I25" i="17"/>
  <c r="E25" i="17"/>
  <c r="BB24" i="17"/>
  <c r="AX24" i="17"/>
  <c r="I24" i="17"/>
  <c r="E24" i="17"/>
  <c r="BB23" i="17"/>
  <c r="AX23" i="17"/>
  <c r="I23" i="17"/>
  <c r="E23" i="17"/>
  <c r="BB22" i="17"/>
  <c r="AX22" i="17"/>
  <c r="I22" i="17"/>
  <c r="E22" i="17"/>
  <c r="BB21" i="17"/>
  <c r="AX21" i="17"/>
  <c r="I21" i="17"/>
  <c r="E21" i="17"/>
  <c r="BB20" i="17"/>
  <c r="AX20" i="17"/>
  <c r="I20" i="17"/>
  <c r="E20" i="17"/>
  <c r="BB19" i="17"/>
  <c r="AX19" i="17"/>
  <c r="I19" i="17"/>
  <c r="E19" i="17"/>
  <c r="BB18" i="17"/>
  <c r="AX18" i="17"/>
  <c r="I18" i="17"/>
  <c r="E18" i="17"/>
  <c r="BB17" i="17"/>
  <c r="AX17" i="17"/>
  <c r="I17" i="17"/>
  <c r="E17" i="17"/>
  <c r="BB16" i="17"/>
  <c r="AX16" i="17"/>
  <c r="I16" i="17"/>
  <c r="E16" i="17"/>
  <c r="BB15" i="17"/>
  <c r="AX15" i="17"/>
  <c r="I15" i="17"/>
  <c r="E15" i="17"/>
  <c r="BB14" i="17"/>
  <c r="AX14" i="17"/>
  <c r="I14" i="17"/>
  <c r="E14" i="17"/>
  <c r="BB13" i="17"/>
  <c r="AX13" i="17"/>
  <c r="I13" i="17"/>
  <c r="E13" i="17"/>
  <c r="BB12" i="17"/>
  <c r="AX12" i="17"/>
  <c r="I12" i="17"/>
  <c r="E12" i="17"/>
  <c r="BB11" i="17"/>
  <c r="AX11" i="17"/>
  <c r="I11" i="17"/>
  <c r="E11" i="17"/>
  <c r="BB10" i="17"/>
  <c r="AX10" i="17"/>
  <c r="I10" i="17"/>
  <c r="E10" i="17"/>
  <c r="BB9" i="17"/>
  <c r="AX9" i="17"/>
  <c r="I9" i="17"/>
  <c r="E9" i="17"/>
  <c r="BB8" i="17"/>
  <c r="AX8" i="17"/>
  <c r="I8" i="17"/>
  <c r="E8" i="17"/>
  <c r="BB7" i="17"/>
  <c r="AX7" i="17"/>
  <c r="I7" i="17"/>
  <c r="E7" i="17"/>
  <c r="BB6" i="17"/>
  <c r="AX6" i="17"/>
  <c r="I6" i="17"/>
  <c r="E6" i="17"/>
  <c r="BB5" i="17"/>
  <c r="AX5" i="17"/>
  <c r="I5" i="17"/>
  <c r="E5" i="17"/>
  <c r="BB4" i="17"/>
  <c r="AX4" i="17"/>
  <c r="I4" i="17"/>
  <c r="E4" i="17"/>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I28" i="16"/>
  <c r="I27" i="16"/>
  <c r="I26" i="16"/>
  <c r="I25" i="16"/>
  <c r="I24" i="16"/>
  <c r="I23" i="16"/>
  <c r="I22" i="16"/>
  <c r="I21" i="16"/>
  <c r="I20" i="16"/>
  <c r="I19" i="16"/>
  <c r="I18" i="16"/>
  <c r="I17" i="16"/>
  <c r="I16" i="16"/>
  <c r="I15" i="16"/>
  <c r="I14" i="16"/>
  <c r="I13" i="16"/>
  <c r="I12" i="16"/>
  <c r="I11" i="16"/>
  <c r="I10" i="16"/>
  <c r="I9" i="16"/>
  <c r="I8" i="16"/>
  <c r="I7" i="16"/>
  <c r="I6" i="16"/>
  <c r="I5" i="16"/>
  <c r="E28" i="16"/>
  <c r="E27" i="16"/>
  <c r="E26" i="16"/>
  <c r="E25" i="16"/>
  <c r="E24" i="16"/>
  <c r="E23" i="16"/>
  <c r="E22" i="16"/>
  <c r="E21" i="16"/>
  <c r="E20" i="16"/>
  <c r="E19" i="16"/>
  <c r="E18" i="16"/>
  <c r="E17" i="16"/>
  <c r="E16" i="16"/>
  <c r="E15" i="16"/>
  <c r="E14" i="16"/>
  <c r="E13" i="16"/>
  <c r="E12" i="16"/>
  <c r="E11" i="16"/>
  <c r="E10" i="16"/>
  <c r="E9" i="16"/>
  <c r="E8" i="16"/>
  <c r="E7" i="16"/>
  <c r="E6" i="16"/>
  <c r="E5" i="16"/>
  <c r="BB4" i="16"/>
  <c r="AX4" i="16"/>
  <c r="I4" i="16"/>
  <c r="E4" i="16"/>
  <c r="AW39" i="19"/>
  <c r="AS39" i="19"/>
  <c r="W39" i="19"/>
  <c r="AZ36" i="19"/>
  <c r="AS36" i="19"/>
  <c r="W36" i="19"/>
  <c r="BI33" i="19"/>
  <c r="AS33" i="19"/>
  <c r="AO33" i="19"/>
  <c r="AK33" i="19"/>
  <c r="AG33" i="19"/>
  <c r="W33" i="19"/>
  <c r="AS30" i="19"/>
  <c r="W30" i="19"/>
  <c r="AW39" i="18"/>
  <c r="AS39" i="18"/>
  <c r="W39" i="18"/>
  <c r="AZ36" i="18"/>
  <c r="AS36" i="18"/>
  <c r="W36" i="18"/>
  <c r="BI33" i="18"/>
  <c r="AS33" i="18"/>
  <c r="AO33" i="18"/>
  <c r="AK33" i="18"/>
  <c r="AG33" i="18"/>
  <c r="W33" i="18"/>
  <c r="AS30" i="18"/>
  <c r="W30" i="18"/>
  <c r="AW39" i="17"/>
  <c r="AS39" i="17"/>
  <c r="W39" i="17"/>
  <c r="AZ36" i="17"/>
  <c r="AS36" i="17"/>
  <c r="W36" i="17"/>
  <c r="BI33" i="17"/>
  <c r="AS33" i="17"/>
  <c r="AO33" i="17"/>
  <c r="AK33" i="17"/>
  <c r="AG33" i="17"/>
  <c r="W33" i="17"/>
  <c r="AS30" i="17"/>
  <c r="W30" i="17"/>
  <c r="AW39" i="16"/>
  <c r="AS39" i="16"/>
  <c r="W39" i="16"/>
  <c r="AZ36" i="16"/>
  <c r="AS36" i="16"/>
  <c r="W36" i="16"/>
  <c r="BI33" i="16"/>
  <c r="AS33" i="16"/>
  <c r="AO33" i="16"/>
  <c r="AK33" i="16"/>
  <c r="AG33" i="16"/>
  <c r="W33" i="16"/>
  <c r="AS30" i="16"/>
  <c r="W30" i="16"/>
  <c r="AX28" i="1"/>
  <c r="AX27" i="1"/>
  <c r="AX26" i="1"/>
  <c r="AX25" i="1"/>
  <c r="AX24" i="1"/>
  <c r="AX23" i="1"/>
  <c r="AX22" i="1"/>
  <c r="AX21" i="1"/>
  <c r="AX20" i="1"/>
  <c r="AX19" i="1"/>
  <c r="AX18" i="1"/>
  <c r="AX17" i="1"/>
  <c r="AX16" i="1"/>
  <c r="AX15" i="1"/>
  <c r="AX14" i="1"/>
  <c r="AX13" i="1"/>
  <c r="AX12" i="1"/>
  <c r="AX11" i="1"/>
  <c r="AX10" i="1"/>
  <c r="AX9" i="1"/>
  <c r="AX8" i="1"/>
  <c r="AX7" i="1"/>
  <c r="AX6" i="1"/>
  <c r="AX5" i="1"/>
  <c r="AX4" i="1"/>
  <c r="BB28" i="1"/>
  <c r="BB27" i="1"/>
  <c r="BB26" i="1"/>
  <c r="BB25" i="1"/>
  <c r="BB24" i="1"/>
  <c r="BB23" i="1"/>
  <c r="BB22" i="1"/>
  <c r="BB21" i="1"/>
  <c r="BB20" i="1"/>
  <c r="BB19" i="1"/>
  <c r="BB18" i="1"/>
  <c r="BB17" i="1"/>
  <c r="BB16" i="1"/>
  <c r="BB15" i="1"/>
  <c r="BB14" i="1"/>
  <c r="BB13" i="1"/>
  <c r="BB12" i="1"/>
  <c r="BB11" i="1"/>
  <c r="BB10" i="1"/>
  <c r="BB9" i="1"/>
  <c r="BB8" i="1"/>
  <c r="BB7" i="1"/>
  <c r="BB6" i="1"/>
  <c r="BB5" i="1"/>
  <c r="BB4" i="1"/>
  <c r="AW63" i="15"/>
  <c r="AS63" i="15"/>
  <c r="AZ60" i="15"/>
  <c r="AS60" i="15"/>
  <c r="BI57" i="15"/>
  <c r="AO57" i="15"/>
  <c r="AK57" i="15"/>
  <c r="AG57" i="15"/>
  <c r="W57" i="15"/>
  <c r="BB54" i="15"/>
  <c r="AS54" i="15"/>
  <c r="W54" i="15"/>
  <c r="AW63" i="13"/>
  <c r="AS63" i="13"/>
  <c r="AZ60" i="13"/>
  <c r="AS60" i="13"/>
  <c r="BI57" i="13"/>
  <c r="AO57" i="13"/>
  <c r="AK57" i="13"/>
  <c r="AG57" i="13"/>
  <c r="W57" i="13"/>
  <c r="BB54" i="13"/>
  <c r="AS54" i="13"/>
  <c r="W54" i="13"/>
  <c r="AW63" i="12"/>
  <c r="AW39" i="1"/>
  <c r="AS39" i="1"/>
  <c r="AS63" i="12"/>
  <c r="AS60" i="12"/>
  <c r="AZ60" i="12"/>
  <c r="W33" i="1"/>
  <c r="W57" i="12"/>
  <c r="BI57" i="12"/>
  <c r="AO57" i="12"/>
  <c r="AK57" i="12"/>
  <c r="AG57" i="12"/>
  <c r="BB54" i="12"/>
  <c r="AS54" i="12"/>
  <c r="W54" i="12"/>
  <c r="AZ36" i="1"/>
  <c r="AS36" i="1"/>
  <c r="BI33" i="1"/>
  <c r="AS33" i="1"/>
  <c r="AO33" i="1"/>
  <c r="AK33" i="1"/>
  <c r="AG33" i="1"/>
  <c r="W30" i="1"/>
  <c r="AS30" i="1"/>
  <c r="W39" i="1"/>
  <c r="W36" i="1"/>
  <c r="D5" i="12"/>
  <c r="H4" i="12"/>
  <c r="D4" i="12"/>
  <c r="I5" i="1"/>
  <c r="I6" i="1"/>
  <c r="I7" i="1"/>
  <c r="I8" i="1"/>
  <c r="I9" i="1"/>
  <c r="I10" i="1"/>
  <c r="I11" i="1"/>
  <c r="I12" i="1"/>
  <c r="I13" i="1"/>
  <c r="I14" i="1"/>
  <c r="I15" i="1"/>
  <c r="I16" i="1"/>
  <c r="I17" i="1"/>
  <c r="I18" i="1"/>
  <c r="I19" i="1"/>
  <c r="I20" i="1"/>
  <c r="I21" i="1"/>
  <c r="I22" i="1"/>
  <c r="I23" i="1"/>
  <c r="I24" i="1"/>
  <c r="I25" i="1"/>
  <c r="I26" i="1"/>
  <c r="I27" i="1"/>
  <c r="I28" i="1"/>
  <c r="E5" i="1"/>
  <c r="E6" i="1"/>
  <c r="E7" i="1"/>
  <c r="E8" i="1"/>
  <c r="E9" i="1"/>
  <c r="E10" i="1"/>
  <c r="E11" i="1"/>
  <c r="E12" i="1"/>
  <c r="E13" i="1"/>
  <c r="E14" i="1"/>
  <c r="E15" i="1"/>
  <c r="E16" i="1"/>
  <c r="E17" i="1"/>
  <c r="E18" i="1"/>
  <c r="E19" i="1"/>
  <c r="E20" i="1"/>
  <c r="E21" i="1"/>
  <c r="E22" i="1"/>
  <c r="E23" i="1"/>
  <c r="E24" i="1"/>
  <c r="E25" i="1"/>
  <c r="E26" i="1"/>
  <c r="E27" i="1"/>
  <c r="E28" i="1"/>
  <c r="E4" i="1"/>
  <c r="I4" i="1"/>
  <c r="A4" i="1"/>
  <c r="A4" i="12"/>
  <c r="A5" i="1"/>
  <c r="A5" i="12"/>
  <c r="A6" i="12"/>
  <c r="A6" i="1"/>
  <c r="A7" i="12"/>
  <c r="A7" i="1"/>
  <c r="A8" i="12"/>
  <c r="A8" i="1"/>
  <c r="A9" i="12"/>
  <c r="A9" i="1"/>
  <c r="A10" i="12"/>
  <c r="A10" i="1"/>
  <c r="A11" i="12"/>
  <c r="A35" i="15"/>
  <c r="A25" i="19"/>
  <c r="A11" i="1"/>
  <c r="A12" i="12"/>
  <c r="A36" i="15"/>
  <c r="A26" i="19"/>
  <c r="A12" i="1"/>
  <c r="A13" i="12"/>
  <c r="A13" i="1"/>
  <c r="A14" i="12"/>
  <c r="A14" i="1"/>
  <c r="A15" i="12"/>
  <c r="A15" i="1"/>
  <c r="A16" i="12"/>
  <c r="A16" i="1"/>
  <c r="A17" i="12"/>
  <c r="A17" i="1"/>
  <c r="A18" i="12"/>
  <c r="A18" i="1"/>
  <c r="A19" i="12"/>
  <c r="A19" i="1"/>
  <c r="A20" i="12"/>
  <c r="A20" i="1"/>
  <c r="A21" i="12"/>
  <c r="A21" i="1"/>
  <c r="A22" i="12"/>
  <c r="A22" i="1"/>
  <c r="A23" i="12"/>
  <c r="A23" i="1"/>
  <c r="A24" i="12"/>
  <c r="A24" i="1"/>
  <c r="A25" i="12"/>
  <c r="A25" i="1"/>
  <c r="A26" i="12"/>
  <c r="A26" i="1"/>
  <c r="A27" i="12"/>
  <c r="A27" i="1"/>
  <c r="A28" i="12"/>
  <c r="A28" i="1"/>
  <c r="A4" i="16"/>
  <c r="A29" i="12"/>
  <c r="A5" i="16"/>
  <c r="A30" i="12"/>
  <c r="A6" i="16"/>
  <c r="A31" i="12"/>
  <c r="A7" i="16"/>
  <c r="A32" i="12"/>
  <c r="A8" i="16"/>
  <c r="A33" i="12"/>
  <c r="A9" i="16"/>
  <c r="A34" i="12"/>
  <c r="A10" i="16"/>
  <c r="A35" i="12"/>
  <c r="A11" i="16"/>
  <c r="A36" i="12"/>
  <c r="A12" i="16"/>
  <c r="A37" i="12"/>
  <c r="A13" i="16"/>
  <c r="A38" i="12"/>
  <c r="A14" i="16"/>
  <c r="A39" i="12"/>
  <c r="A15" i="16"/>
  <c r="A40" i="12"/>
  <c r="A16" i="16"/>
  <c r="A41" i="12"/>
  <c r="A17" i="16"/>
  <c r="A42" i="12"/>
  <c r="A18" i="16"/>
  <c r="A43" i="12"/>
  <c r="A19" i="16"/>
  <c r="A44" i="12"/>
  <c r="A20" i="16"/>
  <c r="A45" i="12"/>
  <c r="A21" i="16"/>
  <c r="A46" i="12"/>
  <c r="A22" i="16"/>
  <c r="A47" i="12"/>
  <c r="A23" i="16"/>
  <c r="A48" i="12"/>
  <c r="A4" i="13"/>
  <c r="A24" i="16"/>
  <c r="A5" i="13"/>
  <c r="A25" i="16"/>
  <c r="A6" i="13"/>
  <c r="A26" i="16"/>
  <c r="A7" i="13"/>
  <c r="A27" i="16"/>
  <c r="A8" i="13"/>
  <c r="A28" i="16"/>
  <c r="A9" i="13"/>
  <c r="A4" i="17"/>
  <c r="A10" i="13"/>
  <c r="A5" i="17"/>
  <c r="A11" i="13"/>
  <c r="A6" i="17"/>
  <c r="A12" i="13"/>
  <c r="A7" i="17"/>
  <c r="A13" i="13"/>
  <c r="A8" i="17"/>
  <c r="A14" i="13"/>
  <c r="A9" i="17"/>
  <c r="A15" i="13"/>
  <c r="A10" i="17"/>
  <c r="A16" i="13"/>
  <c r="A11" i="17"/>
  <c r="A17" i="13"/>
  <c r="A12" i="17"/>
  <c r="A18" i="13"/>
  <c r="A13" i="17"/>
  <c r="A19" i="13"/>
  <c r="A14" i="17"/>
  <c r="A20" i="13"/>
  <c r="A15" i="17"/>
  <c r="A21" i="13"/>
  <c r="A16" i="17"/>
  <c r="A22" i="13"/>
  <c r="A17" i="17"/>
  <c r="A23" i="13"/>
  <c r="A18" i="17"/>
  <c r="A24" i="13"/>
  <c r="A19" i="17"/>
  <c r="A25" i="13"/>
  <c r="A20" i="17"/>
  <c r="A26" i="13"/>
  <c r="A21" i="17"/>
  <c r="A27" i="13"/>
  <c r="A22" i="17"/>
  <c r="A28" i="13"/>
  <c r="A23" i="17"/>
  <c r="A29" i="13"/>
  <c r="A24" i="17"/>
  <c r="A30" i="13"/>
  <c r="A25" i="17"/>
  <c r="A31" i="13"/>
  <c r="A26" i="17"/>
  <c r="A32" i="13"/>
  <c r="A27" i="17"/>
  <c r="A33" i="13"/>
  <c r="A28" i="17"/>
  <c r="A34" i="13"/>
  <c r="A4" i="18"/>
  <c r="A35" i="13"/>
  <c r="A5" i="18"/>
  <c r="A36" i="13"/>
  <c r="A6" i="18"/>
  <c r="A37" i="13"/>
  <c r="A7" i="18"/>
  <c r="A38" i="13"/>
  <c r="A8" i="18"/>
  <c r="A39" i="13"/>
  <c r="A9" i="18"/>
  <c r="A40" i="13"/>
  <c r="A10" i="18"/>
  <c r="A41" i="13"/>
  <c r="A11" i="18"/>
  <c r="A42" i="13"/>
  <c r="A12" i="18"/>
  <c r="A43" i="13"/>
  <c r="A13" i="18"/>
  <c r="A44" i="13"/>
  <c r="A14" i="18"/>
  <c r="A45" i="13"/>
  <c r="A15" i="18"/>
  <c r="A46" i="13"/>
  <c r="A16" i="18"/>
  <c r="A47" i="13"/>
  <c r="A17" i="18"/>
  <c r="A48" i="13"/>
  <c r="A18" i="18"/>
  <c r="A5" i="15"/>
  <c r="A4" i="15"/>
  <c r="A19" i="18"/>
  <c r="A20" i="18"/>
  <c r="A6" i="15"/>
  <c r="A21" i="18"/>
  <c r="A7" i="15"/>
  <c r="A22" i="18"/>
  <c r="A8" i="15"/>
  <c r="A23" i="18"/>
  <c r="A9" i="15"/>
  <c r="A24" i="18"/>
  <c r="A10" i="15"/>
  <c r="A25" i="18"/>
  <c r="A11" i="15"/>
  <c r="A26" i="18"/>
  <c r="A12" i="15"/>
  <c r="A27" i="18"/>
  <c r="A13" i="15"/>
  <c r="A28" i="18"/>
  <c r="A14" i="15"/>
  <c r="A4" i="19"/>
  <c r="A15" i="15"/>
  <c r="A5" i="19"/>
  <c r="A16" i="15"/>
  <c r="A6" i="19"/>
  <c r="A17" i="15"/>
  <c r="A7" i="19"/>
  <c r="A18" i="15"/>
  <c r="A8" i="19"/>
  <c r="A19" i="15"/>
  <c r="A9" i="19"/>
  <c r="A20" i="15"/>
  <c r="A10" i="19"/>
  <c r="A21" i="15"/>
  <c r="A11" i="19"/>
  <c r="A22" i="15"/>
  <c r="A12" i="19"/>
  <c r="A23" i="15"/>
  <c r="A13" i="19"/>
  <c r="A24" i="15"/>
  <c r="A14" i="19"/>
  <c r="A25" i="15"/>
  <c r="A15" i="19"/>
  <c r="A26" i="15"/>
  <c r="A16" i="19"/>
  <c r="A27" i="15"/>
  <c r="A17" i="19"/>
  <c r="A28" i="15"/>
  <c r="A18" i="19"/>
  <c r="A29" i="15"/>
  <c r="A19" i="19"/>
  <c r="A30" i="15"/>
  <c r="A20" i="19"/>
  <c r="A31" i="15"/>
  <c r="A21" i="19"/>
  <c r="A32" i="15"/>
  <c r="A22" i="19"/>
  <c r="A33" i="15"/>
  <c r="A23" i="19"/>
  <c r="A34" i="15"/>
  <c r="A24" i="19"/>
  <c r="BE17" i="12"/>
  <c r="BJ17" i="12"/>
  <c r="BE18" i="12"/>
  <c r="BJ18" i="12"/>
  <c r="BE19" i="12"/>
  <c r="BJ19" i="12"/>
  <c r="M95" i="2"/>
  <c r="M63" i="2"/>
  <c r="M69" i="2"/>
  <c r="M9" i="2"/>
  <c r="M59" i="2"/>
  <c r="M103" i="2"/>
  <c r="M65" i="2"/>
  <c r="M45" i="2"/>
  <c r="M119" i="2"/>
  <c r="M55" i="2"/>
  <c r="M109" i="2"/>
  <c r="BL63" i="12"/>
  <c r="M8" i="2"/>
  <c r="BE52" i="12" l="1"/>
  <c r="BE49" i="13" s="1"/>
  <c r="BE52" i="13" s="1"/>
  <c r="BE49" i="15" s="1"/>
  <c r="BE52" i="15" s="1"/>
  <c r="BE51" i="12"/>
  <c r="L7" i="2"/>
  <c r="AZ39" i="18"/>
  <c r="AZ39" i="17"/>
  <c r="AZ63" i="15"/>
  <c r="AZ63" i="13"/>
  <c r="AZ63" i="12"/>
  <c r="AZ39" i="1"/>
  <c r="AZ39" i="16"/>
</calcChain>
</file>

<file path=xl/comments1.xml><?xml version="1.0" encoding="utf-8"?>
<comments xmlns="http://schemas.openxmlformats.org/spreadsheetml/2006/main">
  <authors>
    <author>Robert Poettinger</author>
    <author>Exchange (Server)</author>
    <author>Thomas Attwenger</author>
    <author>Strasser</author>
  </authors>
  <commentList>
    <comment ref="L3" authorId="0" shapeId="0">
      <text>
        <r>
          <rPr>
            <b/>
            <sz val="9"/>
            <color indexed="81"/>
            <rFont val="Segoe UI"/>
            <family val="2"/>
          </rPr>
          <t>Thomas Attwenger:</t>
        </r>
        <r>
          <rPr>
            <sz val="9"/>
            <color indexed="81"/>
            <rFont val="Segoe UI"/>
            <family val="2"/>
          </rPr>
          <t xml:space="preserve">
Versionsnummer ohne fürhrendes "V"!</t>
        </r>
      </text>
    </comment>
    <comment ref="L4" authorId="0" shapeId="0">
      <text>
        <r>
          <rPr>
            <b/>
            <sz val="9"/>
            <color indexed="81"/>
            <rFont val="Segoe UI"/>
            <family val="2"/>
          </rPr>
          <t xml:space="preserve">Thomas Attwenger:
</t>
        </r>
        <r>
          <rPr>
            <sz val="9"/>
            <color indexed="81"/>
            <rFont val="Segoe UI"/>
            <family val="2"/>
          </rPr>
          <t>Revisionsnummer ohne fürhrendes "R"</t>
        </r>
        <r>
          <rPr>
            <b/>
            <sz val="9"/>
            <color indexed="81"/>
            <rFont val="Segoe UI"/>
            <family val="2"/>
          </rPr>
          <t>!</t>
        </r>
      </text>
    </comment>
    <comment ref="I5" authorId="0" shapeId="0">
      <text>
        <r>
          <rPr>
            <b/>
            <sz val="9"/>
            <color indexed="81"/>
            <rFont val="Segoe UI"/>
            <family val="2"/>
          </rPr>
          <t>Thomas Attwenger:</t>
        </r>
        <r>
          <rPr>
            <sz val="9"/>
            <color indexed="81"/>
            <rFont val="Segoe UI"/>
            <family val="2"/>
          </rPr>
          <t xml:space="preserve">
Die Eingabe des Entwicklerkurzzeichens oder des Freigabeberechtigten (Werkstättenleiter) ist unbedingt erforderlich.</t>
        </r>
      </text>
    </comment>
    <comment ref="L6" authorId="0" shapeId="0">
      <text>
        <r>
          <rPr>
            <b/>
            <sz val="9"/>
            <color indexed="81"/>
            <rFont val="Segoe UI"/>
            <family val="2"/>
          </rPr>
          <t xml:space="preserve">Thomas Attwenger:
</t>
        </r>
        <r>
          <rPr>
            <sz val="9"/>
            <color indexed="81"/>
            <rFont val="Segoe UI"/>
            <family val="2"/>
          </rPr>
          <t>Hier muss immer vor dem Ausdruck auf "</t>
        </r>
        <r>
          <rPr>
            <b/>
            <sz val="9"/>
            <color indexed="81"/>
            <rFont val="Segoe UI"/>
            <family val="2"/>
          </rPr>
          <t>ohne</t>
        </r>
        <r>
          <rPr>
            <sz val="9"/>
            <color indexed="81"/>
            <rFont val="Segoe UI"/>
            <family val="2"/>
          </rPr>
          <t>" umgeschaltet werden. 
Bei "</t>
        </r>
        <r>
          <rPr>
            <b/>
            <sz val="9"/>
            <color indexed="81"/>
            <rFont val="Segoe UI"/>
            <family val="2"/>
          </rPr>
          <t>mit</t>
        </r>
        <r>
          <rPr>
            <sz val="9"/>
            <color indexed="81"/>
            <rFont val="Segoe UI"/>
            <family val="2"/>
          </rPr>
          <t>" wird der tatsächliche Preis für eine Einheit bei Einzelkauf der Bauteile angezeigt!</t>
        </r>
      </text>
    </comment>
    <comment ref="B7" authorId="0" shapeId="0">
      <text>
        <r>
          <rPr>
            <b/>
            <sz val="9"/>
            <color indexed="81"/>
            <rFont val="Segoe UI"/>
            <family val="2"/>
          </rPr>
          <t xml:space="preserve">Thomas Attwenger:
</t>
        </r>
        <r>
          <rPr>
            <sz val="9"/>
            <color indexed="81"/>
            <rFont val="Segoe UI"/>
            <family val="2"/>
          </rPr>
          <t>Die Stückzahl ist bei den Posittionen unbedingt einzutragen. Bei einem Teil einer Einkaufseinheit ist die tatsächliche Teilstückanzahl einzutragen (0,075 STK bei einer 3pol. Stiftleiste mit Grundausmaß 40 STK im Einkauf).
Bei "</t>
        </r>
        <r>
          <rPr>
            <b/>
            <sz val="9"/>
            <color indexed="81"/>
            <rFont val="Segoe UI"/>
            <family val="2"/>
          </rPr>
          <t>FF</t>
        </r>
        <r>
          <rPr>
            <sz val="9"/>
            <color indexed="81"/>
            <rFont val="Segoe UI"/>
            <family val="2"/>
          </rPr>
          <t xml:space="preserve">" Im Einheitenfeld ist dieses Feld leer zu lassen - </t>
        </r>
        <r>
          <rPr>
            <b/>
            <sz val="9"/>
            <color indexed="81"/>
            <rFont val="Segoe UI"/>
            <family val="2"/>
          </rPr>
          <t>keine</t>
        </r>
        <r>
          <rPr>
            <sz val="9"/>
            <color indexed="81"/>
            <rFont val="Segoe UI"/>
            <family val="2"/>
          </rPr>
          <t xml:space="preserve"> "</t>
        </r>
        <r>
          <rPr>
            <b/>
            <sz val="9"/>
            <color indexed="81"/>
            <rFont val="Segoe UI"/>
            <family val="2"/>
          </rPr>
          <t>0</t>
        </r>
        <r>
          <rPr>
            <sz val="9"/>
            <color indexed="81"/>
            <rFont val="Segoe UI"/>
            <family val="2"/>
          </rPr>
          <t>" eintragen!!
Bei "</t>
        </r>
        <r>
          <rPr>
            <b/>
            <sz val="9"/>
            <color indexed="81"/>
            <rFont val="Segoe UI"/>
            <family val="2"/>
          </rPr>
          <t>*</t>
        </r>
        <r>
          <rPr>
            <sz val="9"/>
            <color indexed="81"/>
            <rFont val="Segoe UI"/>
            <family val="2"/>
          </rPr>
          <t xml:space="preserve">" vor dem Text  im Bezeichnungsfeld (Bauteil wird bei der Grundbestückung nicht bestückt) </t>
        </r>
        <r>
          <rPr>
            <b/>
            <sz val="9"/>
            <color indexed="81"/>
            <rFont val="Segoe UI"/>
            <family val="2"/>
          </rPr>
          <t xml:space="preserve">muss </t>
        </r>
        <r>
          <rPr>
            <sz val="9"/>
            <color indexed="81"/>
            <rFont val="Segoe UI"/>
            <family val="2"/>
          </rPr>
          <t>eine "</t>
        </r>
        <r>
          <rPr>
            <b/>
            <sz val="9"/>
            <color indexed="81"/>
            <rFont val="Segoe UI"/>
            <family val="2"/>
          </rPr>
          <t>0</t>
        </r>
        <r>
          <rPr>
            <sz val="9"/>
            <color indexed="81"/>
            <rFont val="Segoe UI"/>
            <family val="2"/>
          </rPr>
          <t>" eingetragen werden.</t>
        </r>
      </text>
    </comment>
    <comment ref="C7" authorId="1" shapeId="0">
      <text>
        <r>
          <rPr>
            <b/>
            <sz val="8"/>
            <color indexed="81"/>
            <rFont val="Tahoma"/>
            <family val="2"/>
          </rPr>
          <t xml:space="preserve">Thomas Attwenger:
</t>
        </r>
        <r>
          <rPr>
            <sz val="8"/>
            <color indexed="81"/>
            <rFont val="Tahoma"/>
            <family val="2"/>
          </rPr>
          <t xml:space="preserve">ISO-Einheit 
</t>
        </r>
      </text>
    </comment>
    <comment ref="D7" authorId="2" shapeId="0">
      <text>
        <r>
          <rPr>
            <b/>
            <sz val="8"/>
            <color indexed="81"/>
            <rFont val="Tahoma"/>
            <family val="2"/>
          </rPr>
          <t>Thomas Attwenger:</t>
        </r>
        <r>
          <rPr>
            <sz val="8"/>
            <color indexed="81"/>
            <rFont val="Tahoma"/>
            <family val="2"/>
          </rPr>
          <t xml:space="preserve">
Hier ist die Benennung des Bauteils unter Angabe der wichtigsten Kenndaten einzugeben. 
(Bsp. WID 47R 0,6W 1%)
Beachte dazu die Liste der Kurzbezeichnungen im FTKL-Leitfaden und die richtige Sortierung der Einträge.
</t>
        </r>
      </text>
    </comment>
    <comment ref="E7" authorId="2" shapeId="0">
      <text>
        <r>
          <rPr>
            <b/>
            <sz val="8"/>
            <color indexed="81"/>
            <rFont val="Tahoma"/>
            <family val="2"/>
          </rPr>
          <t>Thomas Attwenger:</t>
        </r>
        <r>
          <rPr>
            <sz val="8"/>
            <color indexed="81"/>
            <rFont val="Tahoma"/>
            <family val="2"/>
          </rPr>
          <t xml:space="preserve">
...verweist auf den Stromlaufplan. 
Es muss sichergestellt sein, dass Stückliste und Stromlaufplan zusammenpassen!</t>
        </r>
      </text>
    </comment>
    <comment ref="F7" authorId="2" shapeId="0">
      <text>
        <r>
          <rPr>
            <b/>
            <sz val="8"/>
            <color indexed="81"/>
            <rFont val="Tahoma"/>
            <family val="2"/>
          </rPr>
          <t>Thomas Attwenger:</t>
        </r>
        <r>
          <rPr>
            <sz val="8"/>
            <color indexed="81"/>
            <rFont val="Tahoma"/>
            <family val="2"/>
          </rPr>
          <t xml:space="preserve">
Der Lieferant muss immer in der 1.Zeile eingetragen werden, in den folgenden Zeilen nur dann, wenn er sich ändert.</t>
        </r>
      </text>
    </comment>
    <comment ref="G7" authorId="2" shapeId="0">
      <text>
        <r>
          <rPr>
            <b/>
            <sz val="8"/>
            <color indexed="81"/>
            <rFont val="Tahoma"/>
            <family val="2"/>
          </rPr>
          <t>Thomas Attwenger:</t>
        </r>
        <r>
          <rPr>
            <sz val="8"/>
            <color indexed="81"/>
            <rFont val="Tahoma"/>
            <family val="2"/>
          </rPr>
          <t xml:space="preserve">
...aus Internetseite oder Katalog des Lieferanten</t>
        </r>
      </text>
    </comment>
    <comment ref="H7" authorId="2" shapeId="0">
      <text>
        <r>
          <rPr>
            <b/>
            <sz val="8"/>
            <color indexed="81"/>
            <rFont val="Tahoma"/>
            <family val="2"/>
          </rPr>
          <t>Thomas Attwenger:</t>
        </r>
        <r>
          <rPr>
            <sz val="8"/>
            <color indexed="81"/>
            <rFont val="Tahoma"/>
            <family val="2"/>
          </rPr>
          <t xml:space="preserve">
Marking Code aus dem Datenblatt des Bauteile-herstellers evt. auch aus Marking-Code-Tabelle.</t>
        </r>
      </text>
    </comment>
    <comment ref="I7" authorId="2" shapeId="0">
      <text>
        <r>
          <rPr>
            <b/>
            <sz val="8"/>
            <color indexed="81"/>
            <rFont val="Tahoma"/>
            <family val="2"/>
          </rPr>
          <t>Thomas Attwenger:</t>
        </r>
        <r>
          <rPr>
            <sz val="8"/>
            <color indexed="81"/>
            <rFont val="Tahoma"/>
            <family val="2"/>
          </rPr>
          <t xml:space="preserve">
Preisangabe in € (EUR) pro Einheit (STK, LFM, M² …)</t>
        </r>
      </text>
    </comment>
    <comment ref="J7" authorId="2" shapeId="0">
      <text>
        <r>
          <rPr>
            <b/>
            <sz val="8"/>
            <color indexed="81"/>
            <rFont val="Tahoma"/>
            <family val="2"/>
          </rPr>
          <t>Thomas Attwenger:</t>
        </r>
        <r>
          <rPr>
            <sz val="8"/>
            <color indexed="81"/>
            <rFont val="Tahoma"/>
            <family val="2"/>
          </rPr>
          <t xml:space="preserve">
...Verpackungseinheit
(wieviele Bauteile sind in einer VE enthalten)</t>
        </r>
      </text>
    </comment>
    <comment ref="K7" authorId="3" shapeId="0">
      <text>
        <r>
          <rPr>
            <b/>
            <sz val="9"/>
            <color indexed="81"/>
            <rFont val="Tahoma"/>
            <family val="2"/>
          </rPr>
          <t xml:space="preserve">Thomas Attwenger:
</t>
        </r>
        <r>
          <rPr>
            <sz val="9"/>
            <color indexed="81"/>
            <rFont val="Tahoma"/>
            <family val="2"/>
          </rPr>
          <t xml:space="preserve">Bauteilformen und -größen lt. HWE-Leitfaden.
(z.Bsp.: SOT23-3, 
SMD 0805, SMD 1206
THT TO92, …)
</t>
        </r>
      </text>
    </comment>
    <comment ref="L7" authorId="1" shapeId="0">
      <text>
        <r>
          <rPr>
            <b/>
            <sz val="8"/>
            <color indexed="81"/>
            <rFont val="Tahoma"/>
            <family val="2"/>
          </rPr>
          <t xml:space="preserve">Thomas Attwenger:
</t>
        </r>
        <r>
          <rPr>
            <sz val="8"/>
            <color indexed="81"/>
            <rFont val="Tahoma"/>
            <family val="2"/>
          </rPr>
          <t>Preisvorschau pro Sstück für [x] Bestelleinheiten.</t>
        </r>
        <r>
          <rPr>
            <sz val="8"/>
            <color indexed="81"/>
            <rFont val="Tahoma"/>
            <family val="2"/>
          </rPr>
          <t xml:space="preserve">
</t>
        </r>
      </text>
    </comment>
  </commentList>
</comments>
</file>

<file path=xl/sharedStrings.xml><?xml version="1.0" encoding="utf-8"?>
<sst xmlns="http://schemas.openxmlformats.org/spreadsheetml/2006/main" count="334" uniqueCount="136">
  <si>
    <t xml:space="preserve"> Sachnummer, Dateiname:</t>
  </si>
  <si>
    <t xml:space="preserve"> Name:</t>
  </si>
  <si>
    <t xml:space="preserve"> Toleranz:</t>
  </si>
  <si>
    <t xml:space="preserve"> Werkstoff:</t>
  </si>
  <si>
    <t xml:space="preserve"> ID-Nr.:</t>
  </si>
  <si>
    <t xml:space="preserve"> Gez.:</t>
  </si>
  <si>
    <t>Geprüft:</t>
  </si>
  <si>
    <t xml:space="preserve"> Betreuer:</t>
  </si>
  <si>
    <t xml:space="preserve"> Dokumentart:</t>
  </si>
  <si>
    <t xml:space="preserve"> Freigabe:</t>
  </si>
  <si>
    <t xml:space="preserve"> Benennung:</t>
  </si>
  <si>
    <t xml:space="preserve"> Version:</t>
  </si>
  <si>
    <t xml:space="preserve"> Revision:</t>
  </si>
  <si>
    <t xml:space="preserve"> Dokumentenstatus:</t>
  </si>
  <si>
    <t>HTBLuVA Salzburg</t>
  </si>
  <si>
    <t xml:space="preserve"> Maßstab:</t>
  </si>
  <si>
    <t xml:space="preserve"> Spr.:</t>
  </si>
  <si>
    <t xml:space="preserve"> Datum:</t>
  </si>
  <si>
    <t xml:space="preserve"> Blatt:</t>
  </si>
  <si>
    <t xml:space="preserve"> Blätter:</t>
  </si>
  <si>
    <t>DE</t>
  </si>
  <si>
    <t>Stück-
zahl</t>
  </si>
  <si>
    <t>Benennung</t>
  </si>
  <si>
    <t>Referenzkennzeichen</t>
  </si>
  <si>
    <t>Lieferant</t>
  </si>
  <si>
    <t>Bestellnummer</t>
  </si>
  <si>
    <t>VE</t>
  </si>
  <si>
    <t>Bemerkung</t>
  </si>
  <si>
    <t>Stückliste</t>
  </si>
  <si>
    <t>Preis</t>
  </si>
  <si>
    <t>Einzel</t>
  </si>
  <si>
    <t>Gesamt</t>
  </si>
  <si>
    <t>Materialpreis</t>
  </si>
  <si>
    <t>Materialverkaufspreis</t>
  </si>
  <si>
    <t>Materialgemeinkosten (10%)</t>
  </si>
  <si>
    <t>STK</t>
  </si>
  <si>
    <t>Übertrag:</t>
  </si>
  <si>
    <t>Materialkalkulation</t>
  </si>
  <si>
    <t>Freigabe.</t>
  </si>
  <si>
    <t>Geprüft  :</t>
  </si>
  <si>
    <t>Toleranz:</t>
  </si>
  <si>
    <t>Werkstoff:</t>
  </si>
  <si>
    <t>Sprache:</t>
  </si>
  <si>
    <t>Dokumentart:</t>
  </si>
  <si>
    <t>Version:</t>
  </si>
  <si>
    <t>Revision:</t>
  </si>
  <si>
    <t>Dokumentenstatus:</t>
  </si>
  <si>
    <t>Maßstab:</t>
  </si>
  <si>
    <t>Betreuer:</t>
  </si>
  <si>
    <t>Datum:</t>
  </si>
  <si>
    <t>ohne</t>
  </si>
  <si>
    <t>Jahrgang:</t>
  </si>
  <si>
    <t>Katalognummer:</t>
  </si>
  <si>
    <t>Vorname Nachname:</t>
  </si>
  <si>
    <t>Kurzzeichen:</t>
  </si>
  <si>
    <t>Benennung (Projekt) / Version:</t>
  </si>
  <si>
    <t>Benennung (Projekt) Zeile 2:</t>
  </si>
  <si>
    <t>Sachnummer, Dateiname:</t>
  </si>
  <si>
    <t>Ausbildungsrichtung:</t>
  </si>
  <si>
    <t>Fertigung</t>
  </si>
  <si>
    <t>Lfd. 
Nr.</t>
  </si>
  <si>
    <t>Ein-
heit</t>
  </si>
  <si>
    <t>Stückliste:</t>
  </si>
  <si>
    <t>Materialkalkulation:</t>
  </si>
  <si>
    <t>Technische Informatik</t>
  </si>
  <si>
    <t>xx</t>
  </si>
  <si>
    <t>Max Mustermann</t>
  </si>
  <si>
    <t>MusM</t>
  </si>
  <si>
    <t>Einheiten zur Bestellung:</t>
  </si>
  <si>
    <t>xxHELx</t>
  </si>
  <si>
    <t>R16</t>
  </si>
  <si>
    <t>SMD 0805</t>
  </si>
  <si>
    <t>mercateo.at</t>
  </si>
  <si>
    <t>FF</t>
  </si>
  <si>
    <t>"</t>
  </si>
  <si>
    <t>WID 22R</t>
  </si>
  <si>
    <t>R43, 53, 113</t>
  </si>
  <si>
    <t>B1313-728489</t>
  </si>
  <si>
    <t>SMD 1206</t>
  </si>
  <si>
    <t>WID 100R</t>
  </si>
  <si>
    <t>R119, 126, 128, 132</t>
  </si>
  <si>
    <t>SMD 0603</t>
  </si>
  <si>
    <t>WID 110R</t>
  </si>
  <si>
    <t>B1313-713271</t>
  </si>
  <si>
    <t>WID 120R</t>
  </si>
  <si>
    <t>R45-52</t>
  </si>
  <si>
    <t>B1313-728507</t>
  </si>
  <si>
    <t>Gemini 4</t>
  </si>
  <si>
    <t>Entwicklerboard</t>
  </si>
  <si>
    <t>Beilage 3</t>
  </si>
  <si>
    <t>Beilage 10</t>
  </si>
  <si>
    <t>1</t>
  </si>
  <si>
    <t>B1314-213-2143</t>
  </si>
  <si>
    <t>WID 330R</t>
  </si>
  <si>
    <t>R12, 18, 25, 28-30</t>
  </si>
  <si>
    <t>B1313-713282</t>
  </si>
  <si>
    <t>R33-34</t>
  </si>
  <si>
    <t>B1313-728517</t>
  </si>
  <si>
    <t>WID 1k</t>
  </si>
  <si>
    <t>B1313-728529</t>
  </si>
  <si>
    <t>WID 4k7</t>
  </si>
  <si>
    <t>R106</t>
  </si>
  <si>
    <t>B1314-213-2367</t>
  </si>
  <si>
    <t>WID 10k</t>
  </si>
  <si>
    <t>R115-116, 121, 124, 130</t>
  </si>
  <si>
    <t>B1314-740-8805</t>
  </si>
  <si>
    <t>WID 100k</t>
  </si>
  <si>
    <t>R26, 27</t>
  </si>
  <si>
    <t>B1313-713342</t>
  </si>
  <si>
    <t>B1314-679-1761P</t>
  </si>
  <si>
    <t>Preis/EH</t>
  </si>
  <si>
    <t>MCd</t>
  </si>
  <si>
    <t>22R0</t>
  </si>
  <si>
    <t>1000</t>
  </si>
  <si>
    <t>1100</t>
  </si>
  <si>
    <t>1200</t>
  </si>
  <si>
    <t>3300</t>
  </si>
  <si>
    <t>1001</t>
  </si>
  <si>
    <t>4701</t>
  </si>
  <si>
    <t>1002</t>
  </si>
  <si>
    <t>1003</t>
  </si>
  <si>
    <t>V30-33, 52-54</t>
  </si>
  <si>
    <t>B1314-436-7925</t>
  </si>
  <si>
    <t>SOT23, *ww. BC846B,215</t>
  </si>
  <si>
    <t>TRANS N BC846BW</t>
  </si>
  <si>
    <t>R109, 112</t>
  </si>
  <si>
    <t>R110</t>
  </si>
  <si>
    <t>R105, 111</t>
  </si>
  <si>
    <t>R35-42, 54-78, 84, 90, 95, 104,</t>
  </si>
  <si>
    <t>R1-11, 13, 17, 19, 22-24, 86-88,</t>
  </si>
  <si>
    <t>R14, 20, 79-83, 85, 89, 101, 108,</t>
  </si>
  <si>
    <t>R91-94, 96-100, 102-103, 107,</t>
  </si>
  <si>
    <t>StrH</t>
  </si>
  <si>
    <t>1B, K1R</t>
  </si>
  <si>
    <t>4.4</t>
  </si>
  <si>
    <t>002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</si>
</sst>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407]General"/>
    <numFmt numFmtId="165" formatCode="#,##0.00&quot; &quot;[$€-407];[Red]&quot;-&quot;#,##0.00&quot; &quot;[$€-407]"/>
    <numFmt numFmtId="166" formatCode="&quot;€&quot;\ #,##0.000"/>
    <numFmt numFmtId="167" formatCode="#,##0.000"/>
    <numFmt numFmtId="168" formatCode="0.000"/>
  </numFmts>
  <fonts count="25" x14ac:knownFonts="1">
    <font>
      <sz val="11"/>
      <color theme="1"/>
      <name val="Arial"/>
      <family val="2"/>
    </font>
    <font>
      <sz val="12"/>
      <name val="Arial"/>
      <family val="2"/>
    </font>
    <font>
      <b/>
      <sz val="8"/>
      <color indexed="81"/>
      <name val="Tahoma"/>
      <family val="2"/>
    </font>
    <font>
      <sz val="8"/>
      <color indexed="81"/>
      <name val="Tahoma"/>
      <family val="2"/>
    </font>
    <font>
      <b/>
      <sz val="12"/>
      <name val="Arial"/>
      <family val="2"/>
    </font>
    <font>
      <sz val="9"/>
      <color indexed="81"/>
      <name val="Tahoma"/>
      <family val="2"/>
    </font>
    <font>
      <b/>
      <sz val="9"/>
      <color indexed="81"/>
      <name val="Tahoma"/>
      <family val="2"/>
    </font>
    <font>
      <sz val="9"/>
      <color indexed="81"/>
      <name val="Segoe UI"/>
      <family val="2"/>
    </font>
    <font>
      <b/>
      <sz val="9"/>
      <color indexed="81"/>
      <name val="Segoe UI"/>
      <family val="2"/>
    </font>
    <font>
      <sz val="11"/>
      <color theme="1"/>
      <name val="Arial"/>
      <family val="2"/>
    </font>
    <font>
      <sz val="11"/>
      <color rgb="FF000000"/>
      <name val="Calibri"/>
      <family val="2"/>
    </font>
    <font>
      <b/>
      <i/>
      <sz val="16"/>
      <color theme="1"/>
      <name val="Arial"/>
      <family val="2"/>
    </font>
    <font>
      <b/>
      <i/>
      <u/>
      <sz val="11"/>
      <color theme="1"/>
      <name val="Arial"/>
      <family val="2"/>
    </font>
    <font>
      <sz val="11"/>
      <color rgb="FF000000"/>
      <name val="Arial"/>
      <family val="2"/>
    </font>
    <font>
      <sz val="6"/>
      <color rgb="FF000000"/>
      <name val="Arial"/>
      <family val="2"/>
    </font>
    <font>
      <sz val="10"/>
      <color rgb="FF000000"/>
      <name val="Arial"/>
      <family val="2"/>
    </font>
    <font>
      <sz val="10"/>
      <color theme="1"/>
      <name val="Arial"/>
      <family val="2"/>
    </font>
    <font>
      <sz val="12"/>
      <color rgb="FF000000"/>
      <name val="Arial"/>
      <family val="2"/>
    </font>
    <font>
      <b/>
      <sz val="10"/>
      <color theme="1"/>
      <name val="Arial"/>
      <family val="2"/>
    </font>
    <font>
      <sz val="12"/>
      <color theme="1"/>
      <name val="Arial"/>
      <family val="2"/>
    </font>
    <font>
      <b/>
      <sz val="12"/>
      <color rgb="FF000000"/>
      <name val="Arial"/>
      <family val="2"/>
    </font>
    <font>
      <b/>
      <sz val="14"/>
      <color rgb="FF000000"/>
      <name val="Arial"/>
      <family val="2"/>
    </font>
    <font>
      <sz val="14"/>
      <color rgb="FF000000"/>
      <name val="Arial"/>
      <family val="2"/>
    </font>
    <font>
      <sz val="16"/>
      <color rgb="FF000000"/>
      <name val="Arial"/>
      <family val="2"/>
    </font>
    <font>
      <b/>
      <sz val="10"/>
      <color rgb="FF000000"/>
      <name val="Arial"/>
      <family val="2"/>
    </font>
  </fonts>
  <fills count="3">
    <fill>
      <patternFill patternType="none"/>
    </fill>
    <fill>
      <patternFill patternType="gray125"/>
    </fill>
    <fill>
      <patternFill patternType="solid">
        <fgColor theme="0" tint="-0.14999847407452621"/>
        <bgColor indexed="64"/>
      </patternFill>
    </fill>
  </fills>
  <borders count="4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style="medium">
        <color indexed="64"/>
      </right>
      <top/>
      <bottom/>
      <diagonal/>
    </border>
    <border>
      <left/>
      <right/>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diagonal/>
    </border>
    <border>
      <left style="dashed">
        <color indexed="64"/>
      </left>
      <right style="medium">
        <color indexed="64"/>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thin">
        <color indexed="64"/>
      </left>
      <right style="dashed">
        <color indexed="64"/>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medium">
        <color indexed="64"/>
      </right>
      <top style="medium">
        <color indexed="64"/>
      </top>
      <bottom/>
      <diagonal/>
    </border>
  </borders>
  <cellStyleXfs count="7">
    <xf numFmtId="0" fontId="0" fillId="0" borderId="0"/>
    <xf numFmtId="164" fontId="10" fillId="0" borderId="0"/>
    <xf numFmtId="0" fontId="11" fillId="0" borderId="0">
      <alignment horizontal="center"/>
    </xf>
    <xf numFmtId="0" fontId="11" fillId="0" borderId="0">
      <alignment horizontal="center" textRotation="90"/>
    </xf>
    <xf numFmtId="43" fontId="9" fillId="0" borderId="0" applyFont="0" applyFill="0" applyBorder="0" applyAlignment="0" applyProtection="0"/>
    <xf numFmtId="0" fontId="12" fillId="0" borderId="0"/>
    <xf numFmtId="165" fontId="12" fillId="0" borderId="0"/>
  </cellStyleXfs>
  <cellXfs count="297">
    <xf numFmtId="0" fontId="0" fillId="0" borderId="0" xfId="0"/>
    <xf numFmtId="164" fontId="13" fillId="0" borderId="0" xfId="1" applyFont="1" applyBorder="1"/>
    <xf numFmtId="164" fontId="13" fillId="0" borderId="0" xfId="1" applyFont="1"/>
    <xf numFmtId="164" fontId="10" fillId="0" borderId="0" xfId="1"/>
    <xf numFmtId="164" fontId="14" fillId="0" borderId="0" xfId="1" applyFont="1" applyAlignment="1">
      <alignment textRotation="90"/>
    </xf>
    <xf numFmtId="164" fontId="15" fillId="0" borderId="0" xfId="1" applyFont="1" applyBorder="1" applyAlignment="1">
      <alignment vertical="center"/>
    </xf>
    <xf numFmtId="164" fontId="13" fillId="0" borderId="0" xfId="1" applyFont="1" applyBorder="1" applyAlignment="1">
      <alignment wrapText="1"/>
    </xf>
    <xf numFmtId="164" fontId="13" fillId="0" borderId="0" xfId="1" applyFont="1" applyAlignment="1">
      <alignment wrapText="1"/>
    </xf>
    <xf numFmtId="0" fontId="0" fillId="0" borderId="0" xfId="0" applyAlignment="1">
      <alignment wrapText="1"/>
    </xf>
    <xf numFmtId="164" fontId="15" fillId="0" borderId="0" xfId="1" applyFont="1" applyBorder="1" applyAlignment="1">
      <alignment wrapText="1"/>
    </xf>
    <xf numFmtId="164" fontId="15" fillId="0" borderId="0" xfId="1" applyFont="1" applyAlignment="1">
      <alignment wrapText="1"/>
    </xf>
    <xf numFmtId="0" fontId="16" fillId="0" borderId="0" xfId="0" applyFont="1" applyAlignment="1">
      <alignment wrapText="1"/>
    </xf>
    <xf numFmtId="164" fontId="15" fillId="0" borderId="0" xfId="1" applyFont="1" applyAlignment="1">
      <alignment vertical="center"/>
    </xf>
    <xf numFmtId="0" fontId="16" fillId="0" borderId="0" xfId="0" applyFont="1" applyAlignment="1">
      <alignment vertical="center"/>
    </xf>
    <xf numFmtId="164" fontId="14" fillId="0" borderId="1" xfId="1" applyFont="1" applyBorder="1" applyAlignment="1" applyProtection="1">
      <alignment vertical="center"/>
    </xf>
    <xf numFmtId="164" fontId="14" fillId="0" borderId="2" xfId="1" applyFont="1" applyBorder="1" applyAlignment="1" applyProtection="1">
      <alignment vertical="center"/>
    </xf>
    <xf numFmtId="164" fontId="14" fillId="0" borderId="3" xfId="1" applyFont="1" applyBorder="1" applyAlignment="1" applyProtection="1">
      <alignment vertical="center"/>
    </xf>
    <xf numFmtId="168" fontId="15" fillId="0" borderId="4" xfId="1" applyNumberFormat="1" applyFont="1" applyBorder="1" applyAlignment="1" applyProtection="1">
      <alignment vertical="center"/>
      <protection locked="0"/>
    </xf>
    <xf numFmtId="168" fontId="15" fillId="0" borderId="5" xfId="1" applyNumberFormat="1" applyFont="1" applyBorder="1" applyAlignment="1" applyProtection="1">
      <alignment vertical="center"/>
      <protection locked="0"/>
    </xf>
    <xf numFmtId="49" fontId="15" fillId="0" borderId="4" xfId="1" applyNumberFormat="1" applyFont="1" applyBorder="1" applyAlignment="1" applyProtection="1">
      <alignment vertical="center"/>
      <protection locked="0"/>
    </xf>
    <xf numFmtId="49" fontId="15" fillId="0" borderId="5" xfId="1" applyNumberFormat="1" applyFont="1" applyBorder="1" applyAlignment="1" applyProtection="1">
      <alignment vertical="center"/>
      <protection locked="0"/>
    </xf>
    <xf numFmtId="49" fontId="16" fillId="0" borderId="4" xfId="0" applyNumberFormat="1" applyFont="1" applyBorder="1" applyAlignment="1" applyProtection="1">
      <alignment horizontal="left" vertical="center"/>
      <protection locked="0"/>
    </xf>
    <xf numFmtId="49" fontId="16" fillId="0" borderId="5" xfId="0" applyNumberFormat="1" applyFont="1" applyBorder="1" applyAlignment="1" applyProtection="1">
      <alignment horizontal="left" vertical="center"/>
      <protection locked="0"/>
    </xf>
    <xf numFmtId="0" fontId="16" fillId="0" borderId="6" xfId="0" applyFont="1" applyBorder="1" applyAlignment="1" applyProtection="1">
      <alignment vertical="center"/>
      <protection locked="0"/>
    </xf>
    <xf numFmtId="0" fontId="16" fillId="0" borderId="7" xfId="0" applyFont="1" applyBorder="1" applyAlignment="1" applyProtection="1">
      <alignment vertical="center"/>
      <protection locked="0"/>
    </xf>
    <xf numFmtId="0" fontId="16" fillId="2" borderId="8" xfId="0" applyFont="1" applyFill="1" applyBorder="1" applyAlignment="1" applyProtection="1">
      <alignment horizontal="center" vertical="center" wrapText="1"/>
    </xf>
    <xf numFmtId="0" fontId="16" fillId="2" borderId="9" xfId="0" applyFont="1" applyFill="1" applyBorder="1" applyAlignment="1" applyProtection="1">
      <alignment horizontal="center" vertical="center" wrapText="1"/>
    </xf>
    <xf numFmtId="49" fontId="16" fillId="2" borderId="9" xfId="0" applyNumberFormat="1" applyFont="1" applyFill="1" applyBorder="1" applyAlignment="1" applyProtection="1">
      <alignment horizontal="center" vertical="center" wrapText="1"/>
    </xf>
    <xf numFmtId="49" fontId="16" fillId="2" borderId="10" xfId="0" applyNumberFormat="1"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11" xfId="0" applyFont="1" applyFill="1" applyBorder="1" applyAlignment="1" applyProtection="1">
      <alignment horizontal="center" vertical="center" wrapText="1"/>
    </xf>
    <xf numFmtId="49" fontId="1" fillId="2" borderId="1" xfId="0" applyNumberFormat="1" applyFont="1" applyFill="1" applyBorder="1" applyAlignment="1" applyProtection="1">
      <alignment vertical="center"/>
    </xf>
    <xf numFmtId="49" fontId="1" fillId="2" borderId="12" xfId="0" applyNumberFormat="1" applyFont="1" applyFill="1" applyBorder="1" applyAlignment="1" applyProtection="1">
      <alignment vertical="center"/>
    </xf>
    <xf numFmtId="49" fontId="17" fillId="2" borderId="12" xfId="1" applyNumberFormat="1" applyFont="1" applyFill="1" applyBorder="1" applyAlignment="1" applyProtection="1"/>
    <xf numFmtId="49" fontId="1" fillId="2" borderId="12" xfId="0" applyNumberFormat="1" applyFont="1" applyFill="1" applyBorder="1" applyAlignment="1" applyProtection="1"/>
    <xf numFmtId="49" fontId="1" fillId="2" borderId="13" xfId="0" applyNumberFormat="1" applyFont="1" applyFill="1" applyBorder="1" applyAlignment="1" applyProtection="1"/>
    <xf numFmtId="0" fontId="16" fillId="0" borderId="14" xfId="0" applyFont="1" applyFill="1" applyBorder="1" applyAlignment="1" applyProtection="1">
      <alignment vertical="center"/>
      <protection locked="0"/>
    </xf>
    <xf numFmtId="49" fontId="15" fillId="0" borderId="15" xfId="1" applyNumberFormat="1" applyFont="1" applyFill="1" applyBorder="1" applyAlignment="1" applyProtection="1">
      <alignment vertical="center"/>
      <protection locked="0"/>
    </xf>
    <xf numFmtId="49" fontId="16" fillId="0" borderId="16" xfId="0" applyNumberFormat="1" applyFont="1" applyFill="1" applyBorder="1" applyAlignment="1" applyProtection="1">
      <alignment vertical="center"/>
      <protection locked="0"/>
    </xf>
    <xf numFmtId="168" fontId="16" fillId="0" borderId="16" xfId="0" applyNumberFormat="1" applyFont="1" applyFill="1" applyBorder="1" applyAlignment="1" applyProtection="1">
      <alignment vertical="center"/>
      <protection locked="0"/>
    </xf>
    <xf numFmtId="49" fontId="16" fillId="0" borderId="15" xfId="0" applyNumberFormat="1" applyFont="1" applyFill="1" applyBorder="1" applyAlignment="1" applyProtection="1">
      <alignment horizontal="left" vertical="center"/>
      <protection locked="0"/>
    </xf>
    <xf numFmtId="0" fontId="16" fillId="0" borderId="6" xfId="0" applyFont="1" applyFill="1" applyBorder="1" applyAlignment="1" applyProtection="1">
      <alignment vertical="center"/>
      <protection locked="0"/>
    </xf>
    <xf numFmtId="49" fontId="15" fillId="0" borderId="4" xfId="1" applyNumberFormat="1" applyFont="1" applyFill="1" applyBorder="1" applyAlignment="1" applyProtection="1">
      <alignment vertical="center"/>
      <protection locked="0"/>
    </xf>
    <xf numFmtId="49" fontId="16" fillId="0" borderId="17" xfId="0" applyNumberFormat="1" applyFont="1" applyFill="1" applyBorder="1" applyAlignment="1" applyProtection="1">
      <alignment vertical="center"/>
      <protection locked="0"/>
    </xf>
    <xf numFmtId="168" fontId="16" fillId="0" borderId="17" xfId="0" applyNumberFormat="1" applyFont="1" applyFill="1" applyBorder="1" applyAlignment="1" applyProtection="1">
      <alignment vertical="center"/>
      <protection locked="0"/>
    </xf>
    <xf numFmtId="49" fontId="16" fillId="0" borderId="4" xfId="0" applyNumberFormat="1" applyFont="1" applyFill="1" applyBorder="1" applyAlignment="1" applyProtection="1">
      <alignment horizontal="left" vertical="center"/>
      <protection locked="0"/>
    </xf>
    <xf numFmtId="49" fontId="16" fillId="0" borderId="4" xfId="0" applyNumberFormat="1" applyFont="1" applyFill="1" applyBorder="1" applyAlignment="1" applyProtection="1">
      <alignment vertical="center"/>
      <protection locked="0"/>
    </xf>
    <xf numFmtId="168" fontId="16" fillId="0" borderId="4" xfId="0" applyNumberFormat="1" applyFont="1" applyFill="1" applyBorder="1" applyAlignment="1" applyProtection="1">
      <alignment vertical="center"/>
      <protection locked="0"/>
    </xf>
    <xf numFmtId="168" fontId="15" fillId="0" borderId="4" xfId="1" applyNumberFormat="1" applyFont="1" applyFill="1" applyBorder="1" applyAlignment="1" applyProtection="1">
      <alignment vertical="center"/>
      <protection locked="0"/>
    </xf>
    <xf numFmtId="49" fontId="4" fillId="0" borderId="2" xfId="0" applyNumberFormat="1" applyFont="1" applyBorder="1" applyAlignment="1" applyProtection="1">
      <alignment horizontal="center" vertical="center"/>
      <protection locked="0"/>
    </xf>
    <xf numFmtId="49" fontId="4" fillId="0" borderId="0" xfId="0" applyNumberFormat="1" applyFont="1" applyBorder="1" applyAlignment="1" applyProtection="1">
      <alignment horizontal="center" vertical="center"/>
      <protection locked="0"/>
    </xf>
    <xf numFmtId="49" fontId="4" fillId="0" borderId="18" xfId="0" applyNumberFormat="1" applyFont="1" applyBorder="1" applyAlignment="1" applyProtection="1">
      <alignment vertical="center" wrapText="1"/>
      <protection locked="0"/>
    </xf>
    <xf numFmtId="49" fontId="4" fillId="0" borderId="19" xfId="0" applyNumberFormat="1" applyFont="1" applyBorder="1" applyAlignment="1" applyProtection="1">
      <alignment horizontal="center" vertical="center"/>
      <protection locked="0"/>
    </xf>
    <xf numFmtId="49" fontId="16" fillId="2" borderId="20" xfId="0" applyNumberFormat="1" applyFont="1" applyFill="1" applyBorder="1" applyAlignment="1" applyProtection="1">
      <alignment horizontal="left" vertical="center"/>
    </xf>
    <xf numFmtId="49" fontId="16" fillId="2" borderId="21" xfId="0" applyNumberFormat="1" applyFont="1" applyFill="1" applyBorder="1" applyAlignment="1" applyProtection="1">
      <alignment horizontal="left" vertical="center"/>
    </xf>
    <xf numFmtId="49" fontId="16" fillId="2" borderId="22" xfId="0" applyNumberFormat="1" applyFont="1" applyFill="1" applyBorder="1" applyAlignment="1" applyProtection="1">
      <alignment horizontal="left" vertical="center"/>
    </xf>
    <xf numFmtId="49" fontId="10" fillId="0" borderId="0" xfId="1" applyNumberFormat="1"/>
    <xf numFmtId="0" fontId="16" fillId="0" borderId="16" xfId="0" applyNumberFormat="1" applyFont="1" applyFill="1" applyBorder="1" applyAlignment="1" applyProtection="1">
      <alignment vertical="center"/>
      <protection locked="0"/>
    </xf>
    <xf numFmtId="0" fontId="16" fillId="0" borderId="17" xfId="0" applyNumberFormat="1" applyFont="1" applyFill="1" applyBorder="1" applyAlignment="1" applyProtection="1">
      <alignment vertical="center"/>
      <protection locked="0"/>
    </xf>
    <xf numFmtId="0" fontId="16" fillId="0" borderId="4" xfId="0" applyNumberFormat="1" applyFont="1" applyFill="1" applyBorder="1" applyAlignment="1" applyProtection="1">
      <alignment vertical="center"/>
      <protection locked="0"/>
    </xf>
    <xf numFmtId="0" fontId="15" fillId="0" borderId="4" xfId="1" applyNumberFormat="1" applyFont="1" applyFill="1" applyBorder="1" applyAlignment="1" applyProtection="1">
      <alignment vertical="center"/>
      <protection locked="0"/>
    </xf>
    <xf numFmtId="0" fontId="15" fillId="0" borderId="4" xfId="1" applyNumberFormat="1" applyFont="1" applyBorder="1" applyAlignment="1" applyProtection="1">
      <alignment vertical="center"/>
      <protection locked="0"/>
    </xf>
    <xf numFmtId="0" fontId="15" fillId="0" borderId="5" xfId="1" applyNumberFormat="1" applyFont="1" applyBorder="1" applyAlignment="1" applyProtection="1">
      <alignment vertical="center"/>
      <protection locked="0"/>
    </xf>
    <xf numFmtId="0" fontId="16" fillId="0" borderId="2" xfId="0" applyNumberFormat="1" applyFont="1" applyFill="1" applyBorder="1" applyAlignment="1" applyProtection="1">
      <alignment vertical="center"/>
      <protection locked="0"/>
    </xf>
    <xf numFmtId="0" fontId="16" fillId="0" borderId="0" xfId="0" applyNumberFormat="1" applyFont="1" applyFill="1" applyBorder="1" applyAlignment="1" applyProtection="1">
      <alignment vertical="center"/>
      <protection locked="0"/>
    </xf>
    <xf numFmtId="0" fontId="16" fillId="0" borderId="23" xfId="0" applyNumberFormat="1" applyFont="1" applyFill="1" applyBorder="1" applyAlignment="1" applyProtection="1">
      <alignment vertical="center"/>
      <protection locked="0"/>
    </xf>
    <xf numFmtId="0" fontId="15" fillId="0" borderId="23" xfId="1" applyNumberFormat="1" applyFont="1" applyFill="1" applyBorder="1" applyAlignment="1" applyProtection="1">
      <alignment vertical="center"/>
      <protection locked="0"/>
    </xf>
    <xf numFmtId="0" fontId="15" fillId="0" borderId="23" xfId="1" applyNumberFormat="1" applyFont="1" applyBorder="1" applyAlignment="1" applyProtection="1">
      <alignment vertical="center"/>
      <protection locked="0"/>
    </xf>
    <xf numFmtId="0" fontId="15" fillId="0" borderId="24" xfId="1" applyNumberFormat="1" applyFont="1" applyBorder="1" applyAlignment="1" applyProtection="1">
      <alignment vertical="center"/>
      <protection locked="0"/>
    </xf>
    <xf numFmtId="168" fontId="16" fillId="2" borderId="15" xfId="4" applyNumberFormat="1" applyFont="1" applyFill="1" applyBorder="1" applyAlignment="1" applyProtection="1">
      <alignment horizontal="right" vertical="center"/>
    </xf>
    <xf numFmtId="167" fontId="16" fillId="2" borderId="4" xfId="0" applyNumberFormat="1" applyFont="1" applyFill="1" applyBorder="1" applyAlignment="1" applyProtection="1">
      <alignment horizontal="right" vertical="center"/>
    </xf>
    <xf numFmtId="167" fontId="16" fillId="2" borderId="5" xfId="0" applyNumberFormat="1" applyFont="1" applyFill="1" applyBorder="1" applyAlignment="1" applyProtection="1">
      <alignment horizontal="right" vertical="center"/>
    </xf>
    <xf numFmtId="49" fontId="16" fillId="0" borderId="16" xfId="0" applyNumberFormat="1" applyFont="1" applyFill="1" applyBorder="1" applyAlignment="1" applyProtection="1">
      <alignment horizontal="center" vertical="center" shrinkToFit="1"/>
      <protection locked="0"/>
    </xf>
    <xf numFmtId="49" fontId="16" fillId="0" borderId="17" xfId="0" applyNumberFormat="1" applyFont="1" applyFill="1" applyBorder="1" applyAlignment="1" applyProtection="1">
      <alignment horizontal="center" vertical="center" shrinkToFit="1"/>
      <protection locked="0"/>
    </xf>
    <xf numFmtId="49" fontId="16" fillId="0" borderId="4" xfId="0" applyNumberFormat="1" applyFont="1" applyFill="1" applyBorder="1" applyAlignment="1" applyProtection="1">
      <alignment horizontal="center" vertical="center" shrinkToFit="1"/>
      <protection locked="0"/>
    </xf>
    <xf numFmtId="49" fontId="15" fillId="0" borderId="4" xfId="1" applyNumberFormat="1" applyFont="1" applyFill="1" applyBorder="1" applyAlignment="1" applyProtection="1">
      <alignment horizontal="center" vertical="center" shrinkToFit="1"/>
      <protection locked="0"/>
    </xf>
    <xf numFmtId="49" fontId="15" fillId="0" borderId="4" xfId="1" applyNumberFormat="1" applyFont="1" applyBorder="1" applyAlignment="1" applyProtection="1">
      <alignment horizontal="center" vertical="center" shrinkToFit="1"/>
      <protection locked="0"/>
    </xf>
    <xf numFmtId="49" fontId="15" fillId="0" borderId="5" xfId="1" applyNumberFormat="1" applyFont="1" applyBorder="1" applyAlignment="1" applyProtection="1">
      <alignment horizontal="center" vertical="center" shrinkToFit="1"/>
      <protection locked="0"/>
    </xf>
    <xf numFmtId="14" fontId="1" fillId="2" borderId="0" xfId="0" applyNumberFormat="1" applyFont="1" applyFill="1" applyBorder="1" applyAlignment="1" applyProtection="1">
      <alignment horizontal="center" vertical="center"/>
    </xf>
    <xf numFmtId="49" fontId="16" fillId="0" borderId="16" xfId="0" applyNumberFormat="1" applyFont="1" applyFill="1" applyBorder="1" applyAlignment="1" applyProtection="1">
      <alignment vertical="center" shrinkToFit="1"/>
      <protection locked="0"/>
    </xf>
    <xf numFmtId="49" fontId="16" fillId="0" borderId="16" xfId="0" applyNumberFormat="1" applyFont="1" applyFill="1" applyBorder="1" applyAlignment="1" applyProtection="1">
      <alignment horizontal="right" vertical="center" shrinkToFit="1"/>
      <protection locked="0"/>
    </xf>
    <xf numFmtId="49" fontId="16" fillId="0" borderId="17" xfId="0" applyNumberFormat="1" applyFont="1" applyFill="1" applyBorder="1" applyAlignment="1" applyProtection="1">
      <alignment vertical="center" shrinkToFit="1"/>
      <protection locked="0"/>
    </xf>
    <xf numFmtId="49" fontId="16" fillId="0" borderId="17" xfId="0" applyNumberFormat="1" applyFont="1" applyFill="1" applyBorder="1" applyAlignment="1" applyProtection="1">
      <alignment horizontal="right" vertical="center" shrinkToFit="1"/>
      <protection locked="0"/>
    </xf>
    <xf numFmtId="49" fontId="15" fillId="0" borderId="4" xfId="1" applyNumberFormat="1" applyFont="1" applyFill="1" applyBorder="1" applyAlignment="1" applyProtection="1">
      <alignment horizontal="right" vertical="center" shrinkToFit="1"/>
      <protection locked="0"/>
    </xf>
    <xf numFmtId="49" fontId="16" fillId="0" borderId="4" xfId="0" applyNumberFormat="1" applyFont="1" applyFill="1" applyBorder="1" applyAlignment="1" applyProtection="1">
      <alignment vertical="center" shrinkToFit="1"/>
      <protection locked="0"/>
    </xf>
    <xf numFmtId="49" fontId="15" fillId="0" borderId="4" xfId="1" applyNumberFormat="1" applyFont="1" applyFill="1" applyBorder="1" applyAlignment="1" applyProtection="1">
      <alignment vertical="center" shrinkToFit="1"/>
      <protection locked="0"/>
    </xf>
    <xf numFmtId="49" fontId="15" fillId="0" borderId="4" xfId="1" applyNumberFormat="1" applyFont="1" applyBorder="1" applyAlignment="1" applyProtection="1">
      <alignment vertical="center" shrinkToFit="1"/>
      <protection locked="0"/>
    </xf>
    <xf numFmtId="49" fontId="15" fillId="0" borderId="4" xfId="1" applyNumberFormat="1" applyFont="1" applyBorder="1" applyAlignment="1" applyProtection="1">
      <alignment horizontal="right" vertical="center" shrinkToFit="1"/>
      <protection locked="0"/>
    </xf>
    <xf numFmtId="49" fontId="15" fillId="0" borderId="5" xfId="1" applyNumberFormat="1" applyFont="1" applyBorder="1" applyAlignment="1" applyProtection="1">
      <alignment vertical="center" shrinkToFit="1"/>
      <protection locked="0"/>
    </xf>
    <xf numFmtId="49" fontId="15" fillId="0" borderId="5" xfId="1" applyNumberFormat="1" applyFont="1" applyBorder="1" applyAlignment="1" applyProtection="1">
      <alignment horizontal="right" vertical="center" shrinkToFit="1"/>
      <protection locked="0"/>
    </xf>
    <xf numFmtId="49" fontId="18" fillId="2" borderId="25" xfId="0" applyNumberFormat="1" applyFont="1" applyFill="1" applyBorder="1" applyAlignment="1" applyProtection="1">
      <alignment horizontal="right" vertical="center" shrinkToFit="1"/>
    </xf>
    <xf numFmtId="2" fontId="18" fillId="2" borderId="26" xfId="0" applyNumberFormat="1" applyFont="1" applyFill="1" applyBorder="1" applyAlignment="1" applyProtection="1">
      <alignment horizontal="right" vertical="center" shrinkToFit="1"/>
    </xf>
    <xf numFmtId="49" fontId="18" fillId="2" borderId="23" xfId="0" applyNumberFormat="1" applyFont="1" applyFill="1" applyBorder="1" applyAlignment="1" applyProtection="1">
      <alignment horizontal="right" vertical="center" shrinkToFit="1"/>
    </xf>
    <xf numFmtId="2" fontId="18" fillId="2" borderId="27" xfId="0" applyNumberFormat="1" applyFont="1" applyFill="1" applyBorder="1" applyAlignment="1" applyProtection="1">
      <alignment horizontal="right" vertical="center" shrinkToFit="1"/>
    </xf>
    <xf numFmtId="49" fontId="18" fillId="2" borderId="27" xfId="0" applyNumberFormat="1" applyFont="1" applyFill="1" applyBorder="1" applyAlignment="1" applyProtection="1">
      <alignment horizontal="right" vertical="center" shrinkToFit="1"/>
    </xf>
    <xf numFmtId="49" fontId="18" fillId="2" borderId="24" xfId="0" applyNumberFormat="1" applyFont="1" applyFill="1" applyBorder="1" applyAlignment="1" applyProtection="1">
      <alignment horizontal="right" vertical="center" shrinkToFit="1"/>
    </xf>
    <xf numFmtId="49" fontId="18" fillId="2" borderId="28" xfId="0" applyNumberFormat="1" applyFont="1" applyFill="1" applyBorder="1" applyAlignment="1" applyProtection="1">
      <alignment horizontal="right" vertical="center" shrinkToFit="1"/>
    </xf>
    <xf numFmtId="49" fontId="1" fillId="2" borderId="1" xfId="0" applyNumberFormat="1"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49" fontId="1" fillId="2" borderId="12" xfId="0" applyNumberFormat="1" applyFont="1" applyFill="1" applyBorder="1" applyAlignment="1" applyProtection="1">
      <alignment horizontal="left" vertical="center"/>
    </xf>
    <xf numFmtId="49" fontId="1" fillId="2" borderId="0" xfId="0" applyNumberFormat="1" applyFont="1" applyFill="1" applyBorder="1" applyAlignment="1" applyProtection="1">
      <alignment horizontal="left" vertical="center"/>
    </xf>
    <xf numFmtId="49" fontId="1" fillId="2" borderId="1" xfId="0" applyNumberFormat="1" applyFont="1" applyFill="1" applyBorder="1" applyAlignment="1" applyProtection="1">
      <alignment horizontal="left"/>
    </xf>
    <xf numFmtId="49" fontId="1" fillId="2" borderId="2" xfId="0" applyNumberFormat="1" applyFont="1" applyFill="1" applyBorder="1" applyAlignment="1" applyProtection="1">
      <alignment horizontal="left"/>
    </xf>
    <xf numFmtId="49" fontId="1" fillId="2" borderId="12" xfId="0" applyNumberFormat="1" applyFont="1" applyFill="1" applyBorder="1" applyAlignment="1" applyProtection="1">
      <alignment horizontal="left"/>
    </xf>
    <xf numFmtId="49" fontId="1" fillId="2" borderId="0" xfId="0" applyNumberFormat="1" applyFont="1" applyFill="1" applyBorder="1" applyAlignment="1" applyProtection="1">
      <alignment horizontal="left"/>
    </xf>
    <xf numFmtId="0" fontId="4" fillId="0" borderId="2" xfId="0" applyFont="1" applyBorder="1" applyAlignment="1" applyProtection="1">
      <alignment horizontal="center" vertical="center"/>
      <protection locked="0"/>
    </xf>
    <xf numFmtId="49" fontId="4" fillId="0" borderId="0" xfId="0" applyNumberFormat="1"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49" fontId="1" fillId="2" borderId="13" xfId="0" applyNumberFormat="1" applyFont="1" applyFill="1" applyBorder="1" applyAlignment="1" applyProtection="1">
      <alignment horizontal="left" vertical="center"/>
    </xf>
    <xf numFmtId="49" fontId="1" fillId="2" borderId="19" xfId="0" applyNumberFormat="1" applyFont="1" applyFill="1" applyBorder="1" applyAlignment="1" applyProtection="1">
      <alignment horizontal="left" vertical="center"/>
    </xf>
    <xf numFmtId="49" fontId="4" fillId="0" borderId="18" xfId="0" applyNumberFormat="1" applyFont="1" applyBorder="1" applyAlignment="1" applyProtection="1">
      <alignment horizontal="center" vertical="center"/>
      <protection locked="0"/>
    </xf>
    <xf numFmtId="49" fontId="4" fillId="0" borderId="19" xfId="0" applyNumberFormat="1" applyFont="1" applyBorder="1" applyAlignment="1" applyProtection="1">
      <alignment horizontal="center" vertical="center"/>
      <protection locked="0"/>
    </xf>
    <xf numFmtId="49" fontId="4" fillId="0" borderId="29" xfId="0" applyNumberFormat="1" applyFont="1" applyBorder="1" applyAlignment="1" applyProtection="1">
      <alignment horizontal="center" vertical="center"/>
      <protection locked="0"/>
    </xf>
    <xf numFmtId="49" fontId="1" fillId="2" borderId="13" xfId="0" applyNumberFormat="1" applyFont="1" applyFill="1" applyBorder="1" applyAlignment="1" applyProtection="1">
      <alignment horizontal="left"/>
    </xf>
    <xf numFmtId="49" fontId="1" fillId="2" borderId="19" xfId="0" applyNumberFormat="1" applyFont="1" applyFill="1" applyBorder="1" applyAlignment="1" applyProtection="1">
      <alignment horizontal="left"/>
    </xf>
    <xf numFmtId="0" fontId="4" fillId="0" borderId="19" xfId="0" applyFont="1" applyBorder="1" applyAlignment="1" applyProtection="1">
      <alignment horizontal="center" vertical="center"/>
      <protection locked="0"/>
    </xf>
    <xf numFmtId="49" fontId="1" fillId="2" borderId="12" xfId="0" applyNumberFormat="1" applyFont="1" applyFill="1" applyBorder="1" applyAlignment="1" applyProtection="1">
      <alignment horizontal="left" vertical="center" wrapText="1"/>
    </xf>
    <xf numFmtId="49" fontId="1" fillId="2" borderId="0" xfId="0" applyNumberFormat="1" applyFont="1" applyFill="1" applyBorder="1" applyAlignment="1" applyProtection="1">
      <alignment horizontal="left" vertical="center" wrapText="1"/>
    </xf>
    <xf numFmtId="49" fontId="1" fillId="2" borderId="12" xfId="0" applyNumberFormat="1" applyFont="1" applyFill="1" applyBorder="1" applyAlignment="1" applyProtection="1">
      <alignment horizontal="center" vertical="center" wrapText="1"/>
    </xf>
    <xf numFmtId="49" fontId="1" fillId="2" borderId="0" xfId="0" applyNumberFormat="1" applyFont="1" applyFill="1" applyBorder="1" applyAlignment="1" applyProtection="1">
      <alignment horizontal="center" vertical="center" wrapText="1"/>
    </xf>
    <xf numFmtId="49" fontId="1" fillId="2" borderId="18" xfId="0" applyNumberFormat="1" applyFont="1" applyFill="1" applyBorder="1" applyAlignment="1" applyProtection="1">
      <alignment horizontal="center" vertical="center" wrapText="1"/>
    </xf>
    <xf numFmtId="49" fontId="4" fillId="0" borderId="13" xfId="0" applyNumberFormat="1" applyFont="1" applyBorder="1" applyAlignment="1" applyProtection="1">
      <alignment horizontal="center" vertical="center" wrapText="1"/>
      <protection locked="0"/>
    </xf>
    <xf numFmtId="49" fontId="4" fillId="0" borderId="19" xfId="0" applyNumberFormat="1" applyFont="1" applyBorder="1" applyAlignment="1" applyProtection="1">
      <alignment horizontal="center" vertical="center" wrapText="1"/>
      <protection locked="0"/>
    </xf>
    <xf numFmtId="49" fontId="4" fillId="0" borderId="29" xfId="0" applyNumberFormat="1" applyFont="1" applyBorder="1" applyAlignment="1" applyProtection="1">
      <alignment horizontal="center" vertical="center" wrapText="1"/>
      <protection locked="0"/>
    </xf>
    <xf numFmtId="0" fontId="16" fillId="2" borderId="11" xfId="0" applyNumberFormat="1" applyFont="1" applyFill="1" applyBorder="1" applyAlignment="1" applyProtection="1">
      <alignment horizontal="center" vertical="center" wrapText="1"/>
    </xf>
    <xf numFmtId="0" fontId="16" fillId="2" borderId="43" xfId="0" applyNumberFormat="1" applyFont="1" applyFill="1" applyBorder="1" applyAlignment="1" applyProtection="1">
      <alignment horizontal="center" vertical="center" wrapText="1"/>
    </xf>
    <xf numFmtId="0" fontId="16" fillId="2" borderId="44" xfId="0" applyNumberFormat="1" applyFont="1" applyFill="1" applyBorder="1" applyAlignment="1" applyProtection="1">
      <alignment horizontal="center" vertical="center" wrapText="1"/>
    </xf>
    <xf numFmtId="49" fontId="4" fillId="0" borderId="2" xfId="0" applyNumberFormat="1" applyFont="1" applyBorder="1" applyAlignment="1" applyProtection="1">
      <alignment horizontal="center" vertical="center"/>
      <protection locked="0"/>
    </xf>
    <xf numFmtId="49" fontId="4" fillId="0" borderId="3" xfId="0" applyNumberFormat="1" applyFont="1" applyBorder="1" applyAlignment="1" applyProtection="1">
      <alignment horizontal="center" vertical="center"/>
      <protection locked="0"/>
    </xf>
    <xf numFmtId="49" fontId="1" fillId="2" borderId="1" xfId="0" applyNumberFormat="1" applyFont="1" applyFill="1" applyBorder="1" applyAlignment="1" applyProtection="1">
      <alignment horizontal="center" vertical="center"/>
    </xf>
    <xf numFmtId="49" fontId="1" fillId="2" borderId="2" xfId="0" applyNumberFormat="1" applyFont="1" applyFill="1" applyBorder="1" applyAlignment="1" applyProtection="1">
      <alignment horizontal="center" vertical="center"/>
    </xf>
    <xf numFmtId="49" fontId="1" fillId="2" borderId="3" xfId="0" applyNumberFormat="1" applyFont="1" applyFill="1" applyBorder="1" applyAlignment="1" applyProtection="1">
      <alignment horizontal="center" vertical="center"/>
    </xf>
    <xf numFmtId="49" fontId="1" fillId="2" borderId="12" xfId="0" applyNumberFormat="1" applyFont="1" applyFill="1" applyBorder="1" applyAlignment="1" applyProtection="1">
      <alignment horizontal="left" vertical="center" wrapText="1"/>
      <protection locked="0"/>
    </xf>
    <xf numFmtId="49" fontId="1" fillId="2" borderId="0" xfId="0" applyNumberFormat="1" applyFont="1" applyFill="1" applyBorder="1" applyAlignment="1" applyProtection="1">
      <alignment horizontal="left" vertical="center" wrapText="1"/>
      <protection locked="0"/>
    </xf>
    <xf numFmtId="164" fontId="14" fillId="0" borderId="1" xfId="1" applyFont="1" applyFill="1" applyBorder="1" applyAlignment="1" applyProtection="1">
      <alignment horizontal="left" vertical="center"/>
    </xf>
    <xf numFmtId="164" fontId="14" fillId="0" borderId="2" xfId="1" applyFont="1" applyFill="1" applyBorder="1" applyAlignment="1" applyProtection="1">
      <alignment horizontal="left" vertical="center"/>
    </xf>
    <xf numFmtId="164" fontId="14" fillId="0" borderId="3" xfId="1" applyFont="1" applyFill="1" applyBorder="1" applyAlignment="1" applyProtection="1">
      <alignment horizontal="left" vertical="center"/>
    </xf>
    <xf numFmtId="164" fontId="15" fillId="0" borderId="4" xfId="1" applyFont="1" applyBorder="1" applyAlignment="1" applyProtection="1">
      <alignment horizontal="center" vertical="top" wrapText="1"/>
    </xf>
    <xf numFmtId="164" fontId="15" fillId="0" borderId="30" xfId="1" applyFont="1" applyBorder="1" applyAlignment="1" applyProtection="1">
      <alignment horizontal="center" vertical="top" wrapText="1"/>
    </xf>
    <xf numFmtId="164" fontId="17" fillId="0" borderId="12" xfId="1" applyFont="1" applyFill="1" applyBorder="1" applyAlignment="1" applyProtection="1">
      <alignment horizontal="center" vertical="center"/>
    </xf>
    <xf numFmtId="164" fontId="17" fillId="0" borderId="0" xfId="1" applyFont="1" applyFill="1" applyBorder="1" applyAlignment="1" applyProtection="1">
      <alignment horizontal="center" vertical="center"/>
    </xf>
    <xf numFmtId="164" fontId="17" fillId="0" borderId="18" xfId="1" applyFont="1" applyFill="1" applyBorder="1" applyAlignment="1" applyProtection="1">
      <alignment horizontal="center" vertical="center"/>
    </xf>
    <xf numFmtId="164" fontId="17" fillId="0" borderId="13" xfId="1" applyFont="1" applyFill="1" applyBorder="1" applyAlignment="1" applyProtection="1">
      <alignment horizontal="center" vertical="center"/>
    </xf>
    <xf numFmtId="164" fontId="17" fillId="0" borderId="19" xfId="1" applyFont="1" applyFill="1" applyBorder="1" applyAlignment="1" applyProtection="1">
      <alignment horizontal="center" vertical="center"/>
    </xf>
    <xf numFmtId="164" fontId="17" fillId="0" borderId="29" xfId="1" applyFont="1" applyFill="1" applyBorder="1" applyAlignment="1" applyProtection="1">
      <alignment horizontal="center" vertical="center"/>
    </xf>
    <xf numFmtId="0" fontId="15" fillId="0" borderId="4" xfId="1" applyNumberFormat="1" applyFont="1" applyBorder="1" applyAlignment="1" applyProtection="1">
      <alignment horizontal="right" vertical="top" wrapText="1"/>
    </xf>
    <xf numFmtId="0" fontId="15" fillId="0" borderId="12" xfId="1" applyNumberFormat="1" applyFont="1" applyFill="1" applyBorder="1" applyAlignment="1" applyProtection="1">
      <alignment horizontal="center" vertical="center"/>
    </xf>
    <xf numFmtId="0" fontId="15" fillId="0" borderId="0" xfId="1" applyNumberFormat="1" applyFont="1" applyFill="1" applyBorder="1" applyAlignment="1" applyProtection="1">
      <alignment horizontal="center" vertical="center"/>
    </xf>
    <xf numFmtId="0" fontId="15" fillId="0" borderId="18" xfId="1" applyNumberFormat="1" applyFont="1" applyFill="1" applyBorder="1" applyAlignment="1" applyProtection="1">
      <alignment horizontal="center" vertical="center"/>
    </xf>
    <xf numFmtId="0" fontId="15" fillId="0" borderId="13" xfId="1" applyNumberFormat="1" applyFont="1" applyFill="1" applyBorder="1" applyAlignment="1" applyProtection="1">
      <alignment horizontal="center" vertical="center"/>
    </xf>
    <xf numFmtId="0" fontId="15" fillId="0" borderId="19" xfId="1" applyNumberFormat="1" applyFont="1" applyFill="1" applyBorder="1" applyAlignment="1" applyProtection="1">
      <alignment horizontal="center" vertical="center"/>
    </xf>
    <xf numFmtId="0" fontId="15" fillId="0" borderId="29" xfId="1" applyNumberFormat="1" applyFont="1" applyFill="1" applyBorder="1" applyAlignment="1" applyProtection="1">
      <alignment horizontal="center" vertical="center"/>
    </xf>
    <xf numFmtId="0" fontId="16" fillId="0" borderId="12" xfId="0"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16" fillId="0" borderId="18" xfId="0" applyFont="1" applyFill="1" applyBorder="1" applyAlignment="1" applyProtection="1">
      <alignment horizontal="center" vertical="center"/>
    </xf>
    <xf numFmtId="0" fontId="16" fillId="0" borderId="13" xfId="0" applyFont="1" applyFill="1" applyBorder="1" applyAlignment="1" applyProtection="1">
      <alignment horizontal="center" vertical="center"/>
    </xf>
    <xf numFmtId="0" fontId="16" fillId="0" borderId="19" xfId="0" applyFont="1" applyFill="1" applyBorder="1" applyAlignment="1" applyProtection="1">
      <alignment horizontal="center" vertical="center"/>
    </xf>
    <xf numFmtId="0" fontId="16" fillId="0" borderId="29" xfId="0" applyFont="1" applyFill="1" applyBorder="1" applyAlignment="1" applyProtection="1">
      <alignment horizontal="center" vertical="center"/>
    </xf>
    <xf numFmtId="164" fontId="20" fillId="0" borderId="12" xfId="1" applyFont="1" applyFill="1" applyBorder="1" applyAlignment="1" applyProtection="1">
      <alignment horizontal="center" vertical="center"/>
    </xf>
    <xf numFmtId="164" fontId="20" fillId="0" borderId="0" xfId="1" applyFont="1" applyFill="1" applyBorder="1" applyAlignment="1" applyProtection="1">
      <alignment horizontal="center" vertical="center"/>
    </xf>
    <xf numFmtId="164" fontId="20" fillId="0" borderId="18" xfId="1" applyFont="1" applyFill="1" applyBorder="1" applyAlignment="1" applyProtection="1">
      <alignment horizontal="center" vertical="center"/>
    </xf>
    <xf numFmtId="164" fontId="20" fillId="0" borderId="13" xfId="1" applyFont="1" applyFill="1" applyBorder="1" applyAlignment="1" applyProtection="1">
      <alignment horizontal="center" vertical="center"/>
    </xf>
    <xf numFmtId="164" fontId="20" fillId="0" borderId="19" xfId="1" applyFont="1" applyFill="1" applyBorder="1" applyAlignment="1" applyProtection="1">
      <alignment horizontal="center" vertical="center"/>
    </xf>
    <xf numFmtId="164" fontId="20" fillId="0" borderId="29" xfId="1" applyFont="1" applyFill="1" applyBorder="1" applyAlignment="1" applyProtection="1">
      <alignment horizontal="center" vertical="center"/>
    </xf>
    <xf numFmtId="164" fontId="21" fillId="0" borderId="12" xfId="1" applyFont="1" applyFill="1" applyBorder="1" applyAlignment="1" applyProtection="1">
      <alignment horizontal="center" vertical="center"/>
    </xf>
    <xf numFmtId="164" fontId="21" fillId="0" borderId="0" xfId="1" applyFont="1" applyFill="1" applyBorder="1" applyAlignment="1" applyProtection="1">
      <alignment horizontal="center" vertical="center"/>
    </xf>
    <xf numFmtId="164" fontId="21" fillId="0" borderId="18" xfId="1" applyFont="1" applyFill="1" applyBorder="1" applyAlignment="1" applyProtection="1">
      <alignment horizontal="center" vertical="center"/>
    </xf>
    <xf numFmtId="164" fontId="15" fillId="0" borderId="12" xfId="1" applyFont="1" applyFill="1" applyBorder="1" applyAlignment="1" applyProtection="1">
      <alignment horizontal="center" vertical="center"/>
    </xf>
    <xf numFmtId="164" fontId="15" fillId="0" borderId="0" xfId="1" applyFont="1" applyFill="1" applyBorder="1" applyAlignment="1" applyProtection="1">
      <alignment horizontal="center" vertical="center"/>
    </xf>
    <xf numFmtId="164" fontId="15" fillId="0" borderId="18" xfId="1" applyFont="1" applyFill="1" applyBorder="1" applyAlignment="1" applyProtection="1">
      <alignment horizontal="center" vertical="center"/>
    </xf>
    <xf numFmtId="164" fontId="15" fillId="0" borderId="13" xfId="1" applyFont="1" applyFill="1" applyBorder="1" applyAlignment="1" applyProtection="1">
      <alignment horizontal="center" vertical="center"/>
    </xf>
    <xf numFmtId="164" fontId="15" fillId="0" borderId="19" xfId="1" applyFont="1" applyFill="1" applyBorder="1" applyAlignment="1" applyProtection="1">
      <alignment horizontal="center" vertical="center"/>
    </xf>
    <xf numFmtId="164" fontId="15" fillId="0" borderId="29" xfId="1" applyFont="1" applyFill="1" applyBorder="1" applyAlignment="1" applyProtection="1">
      <alignment horizontal="center" vertical="center"/>
    </xf>
    <xf numFmtId="0" fontId="0" fillId="0" borderId="1" xfId="0" applyFill="1" applyBorder="1" applyProtection="1"/>
    <xf numFmtId="0" fontId="0" fillId="0" borderId="2" xfId="0" applyFill="1" applyBorder="1" applyProtection="1"/>
    <xf numFmtId="0" fontId="0" fillId="0" borderId="3" xfId="0" applyFill="1" applyBorder="1" applyProtection="1"/>
    <xf numFmtId="0" fontId="0" fillId="0" borderId="12" xfId="0" applyFill="1" applyBorder="1" applyProtection="1"/>
    <xf numFmtId="0" fontId="0" fillId="0" borderId="0" xfId="0" applyFill="1" applyBorder="1" applyProtection="1"/>
    <xf numFmtId="0" fontId="0" fillId="0" borderId="18" xfId="0" applyFill="1" applyBorder="1" applyProtection="1"/>
    <xf numFmtId="164" fontId="23" fillId="0" borderId="12" xfId="1" applyFont="1" applyFill="1" applyBorder="1" applyAlignment="1" applyProtection="1">
      <alignment horizontal="center" vertical="center"/>
    </xf>
    <xf numFmtId="164" fontId="23" fillId="0" borderId="0" xfId="1" applyFont="1" applyFill="1" applyBorder="1" applyAlignment="1" applyProtection="1">
      <alignment horizontal="center" vertical="center"/>
    </xf>
    <xf numFmtId="164" fontId="23" fillId="0" borderId="18" xfId="1" applyFont="1" applyFill="1" applyBorder="1" applyAlignment="1" applyProtection="1">
      <alignment horizontal="center" vertical="center"/>
    </xf>
    <xf numFmtId="164" fontId="15" fillId="0" borderId="5" xfId="1" applyFont="1" applyBorder="1" applyAlignment="1" applyProtection="1">
      <alignment horizontal="center" vertical="top" wrapText="1"/>
    </xf>
    <xf numFmtId="164" fontId="14" fillId="0" borderId="45" xfId="1" applyFont="1" applyFill="1" applyBorder="1" applyAlignment="1" applyProtection="1">
      <alignment horizontal="left" vertical="center"/>
    </xf>
    <xf numFmtId="164" fontId="14" fillId="0" borderId="46" xfId="1" applyFont="1" applyFill="1" applyBorder="1" applyAlignment="1" applyProtection="1">
      <alignment horizontal="left" vertical="center"/>
    </xf>
    <xf numFmtId="164" fontId="14" fillId="0" borderId="47" xfId="1" applyFont="1" applyFill="1" applyBorder="1" applyAlignment="1" applyProtection="1">
      <alignment horizontal="left" vertical="center"/>
    </xf>
    <xf numFmtId="164" fontId="22" fillId="0" borderId="12" xfId="1" applyFont="1" applyFill="1" applyBorder="1" applyAlignment="1" applyProtection="1">
      <alignment horizontal="center" vertical="center"/>
    </xf>
    <xf numFmtId="164" fontId="22" fillId="0" borderId="0" xfId="1" applyFont="1" applyFill="1" applyBorder="1" applyAlignment="1" applyProtection="1">
      <alignment horizontal="center" vertical="center"/>
    </xf>
    <xf numFmtId="164" fontId="22" fillId="0" borderId="18" xfId="1" applyFont="1" applyFill="1" applyBorder="1" applyAlignment="1" applyProtection="1">
      <alignment horizontal="center" vertical="center"/>
    </xf>
    <xf numFmtId="164" fontId="22" fillId="0" borderId="13" xfId="1" applyFont="1" applyFill="1" applyBorder="1" applyAlignment="1" applyProtection="1">
      <alignment horizontal="center" vertical="center"/>
    </xf>
    <xf numFmtId="164" fontId="22" fillId="0" borderId="19" xfId="1" applyFont="1" applyFill="1" applyBorder="1" applyAlignment="1" applyProtection="1">
      <alignment horizontal="center" vertical="center"/>
    </xf>
    <xf numFmtId="164" fontId="22" fillId="0" borderId="29" xfId="1" applyFont="1" applyFill="1" applyBorder="1" applyAlignment="1" applyProtection="1">
      <alignment horizontal="center" vertical="center"/>
    </xf>
    <xf numFmtId="164" fontId="19" fillId="0" borderId="12" xfId="0" applyNumberFormat="1" applyFont="1" applyFill="1" applyBorder="1" applyAlignment="1" applyProtection="1">
      <alignment horizontal="center" vertical="center"/>
    </xf>
    <xf numFmtId="0" fontId="19" fillId="0" borderId="0" xfId="0" applyNumberFormat="1" applyFont="1" applyFill="1" applyBorder="1" applyAlignment="1" applyProtection="1">
      <alignment horizontal="center" vertical="center"/>
    </xf>
    <xf numFmtId="0" fontId="19" fillId="0" borderId="18" xfId="0" applyNumberFormat="1" applyFont="1" applyFill="1" applyBorder="1" applyAlignment="1" applyProtection="1">
      <alignment horizontal="center" vertical="center"/>
    </xf>
    <xf numFmtId="0" fontId="19" fillId="0" borderId="13" xfId="0" applyNumberFormat="1" applyFont="1" applyFill="1" applyBorder="1" applyAlignment="1" applyProtection="1">
      <alignment horizontal="center" vertical="center"/>
    </xf>
    <xf numFmtId="0" fontId="19" fillId="0" borderId="19" xfId="0" applyNumberFormat="1" applyFont="1" applyFill="1" applyBorder="1" applyAlignment="1" applyProtection="1">
      <alignment horizontal="center" vertical="center"/>
    </xf>
    <xf numFmtId="0" fontId="19" fillId="0" borderId="29" xfId="0" applyNumberFormat="1" applyFont="1" applyFill="1" applyBorder="1" applyAlignment="1" applyProtection="1">
      <alignment horizontal="center" vertical="center"/>
    </xf>
    <xf numFmtId="49" fontId="14" fillId="0" borderId="1" xfId="1" applyNumberFormat="1" applyFont="1" applyFill="1" applyBorder="1" applyAlignment="1" applyProtection="1">
      <alignment horizontal="left" vertical="center"/>
    </xf>
    <xf numFmtId="49" fontId="14" fillId="0" borderId="2" xfId="1" applyNumberFormat="1" applyFont="1" applyFill="1" applyBorder="1" applyAlignment="1" applyProtection="1">
      <alignment horizontal="left" vertical="center"/>
    </xf>
    <xf numFmtId="49" fontId="14" fillId="0" borderId="3" xfId="1" applyNumberFormat="1" applyFont="1" applyFill="1" applyBorder="1" applyAlignment="1" applyProtection="1">
      <alignment horizontal="left" vertical="center"/>
    </xf>
    <xf numFmtId="164" fontId="14" fillId="0" borderId="1" xfId="1" applyFont="1" applyBorder="1" applyAlignment="1" applyProtection="1">
      <alignment horizontal="left" vertical="center"/>
    </xf>
    <xf numFmtId="164" fontId="14" fillId="0" borderId="2" xfId="1" applyFont="1" applyBorder="1" applyAlignment="1" applyProtection="1">
      <alignment horizontal="left" vertical="center"/>
    </xf>
    <xf numFmtId="164" fontId="14" fillId="0" borderId="3" xfId="1" applyFont="1" applyBorder="1" applyAlignment="1" applyProtection="1">
      <alignment horizontal="left" vertical="center"/>
    </xf>
    <xf numFmtId="14" fontId="16" fillId="0" borderId="12" xfId="0" applyNumberFormat="1" applyFont="1" applyFill="1" applyBorder="1" applyAlignment="1" applyProtection="1">
      <alignment horizontal="center" vertical="center"/>
    </xf>
    <xf numFmtId="14" fontId="16" fillId="0" borderId="0" xfId="0" applyNumberFormat="1" applyFont="1" applyFill="1" applyBorder="1" applyAlignment="1" applyProtection="1">
      <alignment horizontal="center" vertical="center"/>
    </xf>
    <xf numFmtId="14" fontId="16" fillId="0" borderId="18" xfId="0" applyNumberFormat="1" applyFont="1" applyFill="1" applyBorder="1" applyAlignment="1" applyProtection="1">
      <alignment horizontal="center" vertical="center"/>
    </xf>
    <xf numFmtId="14" fontId="16" fillId="0" borderId="13" xfId="0" applyNumberFormat="1" applyFont="1" applyFill="1" applyBorder="1" applyAlignment="1" applyProtection="1">
      <alignment horizontal="center" vertical="center"/>
    </xf>
    <xf numFmtId="14" fontId="16" fillId="0" borderId="19" xfId="0" applyNumberFormat="1" applyFont="1" applyFill="1" applyBorder="1" applyAlignment="1" applyProtection="1">
      <alignment horizontal="center" vertical="center"/>
    </xf>
    <xf numFmtId="14" fontId="16" fillId="0" borderId="29" xfId="0" applyNumberFormat="1" applyFont="1" applyFill="1" applyBorder="1" applyAlignment="1" applyProtection="1">
      <alignment horizontal="center" vertical="center"/>
    </xf>
    <xf numFmtId="0" fontId="19" fillId="0" borderId="12" xfId="0" applyFont="1" applyFill="1" applyBorder="1" applyAlignment="1" applyProtection="1">
      <alignment horizontal="center" vertical="center"/>
    </xf>
    <xf numFmtId="0" fontId="19" fillId="0" borderId="0" xfId="0" applyFont="1" applyFill="1" applyBorder="1" applyAlignment="1" applyProtection="1">
      <alignment horizontal="center" vertical="center"/>
    </xf>
    <xf numFmtId="0" fontId="19" fillId="0" borderId="18" xfId="0" applyFont="1" applyFill="1" applyBorder="1" applyAlignment="1" applyProtection="1">
      <alignment horizontal="center" vertical="center"/>
    </xf>
    <xf numFmtId="0" fontId="19" fillId="0" borderId="13" xfId="0" applyFont="1" applyFill="1" applyBorder="1" applyAlignment="1" applyProtection="1">
      <alignment horizontal="center" vertical="center"/>
    </xf>
    <xf numFmtId="0" fontId="19" fillId="0" borderId="19" xfId="0" applyFont="1" applyFill="1" applyBorder="1" applyAlignment="1" applyProtection="1">
      <alignment horizontal="center" vertical="center"/>
    </xf>
    <xf numFmtId="0" fontId="19" fillId="0" borderId="29" xfId="0" applyFont="1" applyFill="1" applyBorder="1" applyAlignment="1" applyProtection="1">
      <alignment horizontal="center" vertical="center"/>
    </xf>
    <xf numFmtId="164" fontId="14" fillId="0" borderId="1" xfId="1" applyFont="1" applyFill="1" applyBorder="1" applyAlignment="1" applyProtection="1">
      <alignment horizontal="left"/>
    </xf>
    <xf numFmtId="164" fontId="14" fillId="0" borderId="2" xfId="1" applyFont="1" applyFill="1" applyBorder="1" applyAlignment="1" applyProtection="1">
      <alignment horizontal="left"/>
    </xf>
    <xf numFmtId="164" fontId="14" fillId="0" borderId="3" xfId="1" applyFont="1" applyFill="1" applyBorder="1" applyAlignment="1" applyProtection="1">
      <alignment horizontal="left"/>
    </xf>
    <xf numFmtId="0" fontId="19" fillId="0" borderId="12" xfId="0" applyNumberFormat="1" applyFont="1" applyFill="1" applyBorder="1" applyAlignment="1" applyProtection="1">
      <alignment horizontal="center" vertical="center"/>
    </xf>
    <xf numFmtId="0" fontId="15" fillId="0" borderId="7" xfId="1" applyNumberFormat="1" applyFont="1" applyBorder="1" applyAlignment="1" applyProtection="1">
      <alignment horizontal="right" vertical="top" wrapText="1"/>
    </xf>
    <xf numFmtId="0" fontId="15" fillId="0" borderId="5" xfId="1" applyNumberFormat="1" applyFont="1" applyBorder="1" applyAlignment="1" applyProtection="1">
      <alignment horizontal="right" vertical="top" wrapText="1"/>
    </xf>
    <xf numFmtId="0" fontId="15" fillId="0" borderId="6" xfId="1" applyNumberFormat="1" applyFont="1" applyBorder="1" applyAlignment="1" applyProtection="1">
      <alignment horizontal="right" vertical="top" wrapText="1"/>
    </xf>
    <xf numFmtId="164" fontId="15" fillId="0" borderId="15" xfId="1" applyFont="1" applyBorder="1" applyAlignment="1" applyProtection="1">
      <alignment horizontal="center" vertical="top" wrapText="1"/>
    </xf>
    <xf numFmtId="164" fontId="15" fillId="0" borderId="31" xfId="1" applyFont="1" applyBorder="1" applyAlignment="1" applyProtection="1">
      <alignment horizontal="center"/>
    </xf>
    <xf numFmtId="164" fontId="15" fillId="0" borderId="41" xfId="1" applyFont="1" applyBorder="1" applyAlignment="1" applyProtection="1">
      <alignment horizontal="center"/>
    </xf>
    <xf numFmtId="0" fontId="15" fillId="0" borderId="14" xfId="1" applyNumberFormat="1" applyFont="1" applyBorder="1" applyAlignment="1" applyProtection="1">
      <alignment horizontal="right" vertical="top" wrapText="1"/>
    </xf>
    <xf numFmtId="0" fontId="15" fillId="0" borderId="15" xfId="1" applyNumberFormat="1" applyFont="1" applyBorder="1" applyAlignment="1" applyProtection="1">
      <alignment horizontal="right" vertical="top" wrapText="1"/>
    </xf>
    <xf numFmtId="164" fontId="15" fillId="0" borderId="4" xfId="1" applyFont="1" applyBorder="1" applyAlignment="1" applyProtection="1">
      <alignment horizontal="center" vertical="center" wrapText="1"/>
    </xf>
    <xf numFmtId="164" fontId="15" fillId="0" borderId="5" xfId="1" applyFont="1" applyBorder="1" applyAlignment="1" applyProtection="1">
      <alignment horizontal="center" vertical="center" wrapText="1"/>
    </xf>
    <xf numFmtId="164" fontId="15" fillId="0" borderId="6" xfId="1" applyFont="1" applyBorder="1" applyAlignment="1" applyProtection="1">
      <alignment horizontal="center" vertical="center" wrapText="1"/>
    </xf>
    <xf numFmtId="164" fontId="15" fillId="0" borderId="7" xfId="1" applyFont="1" applyBorder="1" applyAlignment="1" applyProtection="1">
      <alignment horizontal="center" vertical="center" wrapText="1"/>
    </xf>
    <xf numFmtId="164" fontId="15" fillId="0" borderId="4" xfId="1" applyFont="1" applyBorder="1" applyAlignment="1" applyProtection="1">
      <alignment horizontal="left" vertical="top" wrapText="1"/>
    </xf>
    <xf numFmtId="164" fontId="15" fillId="0" borderId="35" xfId="1" applyFont="1" applyBorder="1" applyAlignment="1" applyProtection="1">
      <alignment horizontal="center" vertical="top" wrapText="1"/>
    </xf>
    <xf numFmtId="164" fontId="15" fillId="0" borderId="32" xfId="1" applyFont="1" applyBorder="1" applyAlignment="1" applyProtection="1">
      <alignment horizontal="center"/>
    </xf>
    <xf numFmtId="164" fontId="15" fillId="0" borderId="33" xfId="1" applyFont="1" applyBorder="1" applyAlignment="1" applyProtection="1">
      <alignment horizontal="center" vertical="center" wrapText="1"/>
    </xf>
    <xf numFmtId="164" fontId="15" fillId="0" borderId="34" xfId="1" applyFont="1" applyBorder="1" applyAlignment="1" applyProtection="1">
      <alignment horizontal="center" vertical="center" wrapText="1"/>
    </xf>
    <xf numFmtId="164" fontId="15" fillId="0" borderId="35" xfId="1" applyFont="1" applyBorder="1" applyAlignment="1" applyProtection="1">
      <alignment horizontal="center" vertical="center" wrapText="1"/>
    </xf>
    <xf numFmtId="164" fontId="15" fillId="0" borderId="36" xfId="1" applyFont="1" applyBorder="1" applyAlignment="1" applyProtection="1">
      <alignment horizontal="center" vertical="top" wrapText="1"/>
    </xf>
    <xf numFmtId="164" fontId="15" fillId="0" borderId="37" xfId="1" applyFont="1" applyBorder="1" applyAlignment="1" applyProtection="1">
      <alignment horizontal="center" vertical="center"/>
    </xf>
    <xf numFmtId="164" fontId="15" fillId="0" borderId="38" xfId="1" applyFont="1" applyBorder="1" applyAlignment="1" applyProtection="1">
      <alignment horizontal="center" vertical="center"/>
    </xf>
    <xf numFmtId="164" fontId="15" fillId="0" borderId="39" xfId="1" applyFont="1" applyBorder="1" applyAlignment="1" applyProtection="1">
      <alignment horizontal="center" vertical="center"/>
    </xf>
    <xf numFmtId="164" fontId="15" fillId="0" borderId="24" xfId="1" applyFont="1" applyBorder="1" applyAlignment="1" applyProtection="1">
      <alignment horizontal="center" vertical="center"/>
    </xf>
    <xf numFmtId="164" fontId="15" fillId="0" borderId="19" xfId="1" applyFont="1" applyBorder="1" applyAlignment="1" applyProtection="1">
      <alignment horizontal="center" vertical="center"/>
    </xf>
    <xf numFmtId="164" fontId="15" fillId="0" borderId="40" xfId="1" applyFont="1" applyBorder="1" applyAlignment="1" applyProtection="1">
      <alignment horizontal="center" vertical="center"/>
    </xf>
    <xf numFmtId="164" fontId="15" fillId="0" borderId="15" xfId="1" applyFont="1" applyBorder="1" applyAlignment="1" applyProtection="1">
      <alignment horizontal="left" vertical="top" wrapText="1"/>
    </xf>
    <xf numFmtId="167" fontId="15" fillId="0" borderId="4" xfId="1" applyNumberFormat="1" applyFont="1" applyBorder="1" applyAlignment="1" applyProtection="1">
      <alignment horizontal="right" vertical="top" wrapText="1"/>
    </xf>
    <xf numFmtId="167" fontId="15" fillId="0" borderId="30" xfId="1" applyNumberFormat="1" applyFont="1" applyBorder="1" applyAlignment="1" applyProtection="1">
      <alignment horizontal="right" vertical="top" wrapText="1"/>
    </xf>
    <xf numFmtId="164" fontId="15" fillId="0" borderId="23" xfId="1" applyFont="1" applyBorder="1" applyAlignment="1" applyProtection="1">
      <alignment horizontal="left" vertical="top" wrapText="1"/>
    </xf>
    <xf numFmtId="164" fontId="15" fillId="0" borderId="0" xfId="1" applyFont="1" applyBorder="1" applyAlignment="1" applyProtection="1">
      <alignment horizontal="left" vertical="top" wrapText="1"/>
    </xf>
    <xf numFmtId="164" fontId="15" fillId="0" borderId="17" xfId="1" applyFont="1" applyBorder="1" applyAlignment="1" applyProtection="1">
      <alignment horizontal="left" vertical="top" wrapText="1"/>
    </xf>
    <xf numFmtId="164" fontId="15" fillId="0" borderId="4" xfId="1" applyFont="1" applyBorder="1" applyAlignment="1" applyProtection="1">
      <alignment horizontal="center" vertical="top"/>
    </xf>
    <xf numFmtId="0" fontId="0" fillId="0" borderId="1" xfId="0" applyFill="1" applyBorder="1" applyAlignment="1" applyProtection="1">
      <alignment horizontal="center" vertical="center"/>
    </xf>
    <xf numFmtId="0" fontId="0" fillId="0" borderId="2" xfId="0" applyFill="1" applyBorder="1" applyAlignment="1" applyProtection="1">
      <alignment horizontal="center" vertical="center"/>
    </xf>
    <xf numFmtId="0" fontId="0" fillId="0" borderId="3" xfId="0" applyFill="1" applyBorder="1" applyAlignment="1" applyProtection="1">
      <alignment horizontal="center" vertical="center"/>
    </xf>
    <xf numFmtId="0" fontId="0" fillId="0" borderId="12"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8" xfId="0" applyFill="1" applyBorder="1" applyAlignment="1" applyProtection="1">
      <alignment horizontal="center" vertical="center"/>
    </xf>
    <xf numFmtId="164" fontId="24" fillId="0" borderId="1" xfId="1" applyFont="1" applyBorder="1" applyAlignment="1" applyProtection="1">
      <alignment horizontal="center" wrapText="1"/>
    </xf>
    <xf numFmtId="164" fontId="24" fillId="0" borderId="2" xfId="1" applyFont="1" applyBorder="1" applyAlignment="1" applyProtection="1">
      <alignment horizontal="center" wrapText="1"/>
    </xf>
    <xf numFmtId="164" fontId="24" fillId="0" borderId="16" xfId="1" applyFont="1" applyBorder="1" applyAlignment="1" applyProtection="1">
      <alignment horizontal="center" wrapText="1"/>
    </xf>
    <xf numFmtId="164" fontId="24" fillId="0" borderId="12" xfId="1" applyFont="1" applyBorder="1" applyAlignment="1" applyProtection="1">
      <alignment horizontal="center" wrapText="1"/>
    </xf>
    <xf numFmtId="164" fontId="24" fillId="0" borderId="0" xfId="1" applyFont="1" applyBorder="1" applyAlignment="1" applyProtection="1">
      <alignment horizontal="center" wrapText="1"/>
    </xf>
    <xf numFmtId="164" fontId="24" fillId="0" borderId="17" xfId="1" applyFont="1" applyBorder="1" applyAlignment="1" applyProtection="1">
      <alignment horizontal="center" wrapText="1"/>
    </xf>
    <xf numFmtId="164" fontId="24" fillId="0" borderId="13" xfId="1" applyFont="1" applyBorder="1" applyAlignment="1" applyProtection="1">
      <alignment horizontal="center" wrapText="1"/>
    </xf>
    <xf numFmtId="164" fontId="24" fillId="0" borderId="19" xfId="1" applyFont="1" applyBorder="1" applyAlignment="1" applyProtection="1">
      <alignment horizontal="center" wrapText="1"/>
    </xf>
    <xf numFmtId="164" fontId="24" fillId="0" borderId="40" xfId="1" applyFont="1" applyBorder="1" applyAlignment="1" applyProtection="1">
      <alignment horizontal="center" wrapText="1"/>
    </xf>
    <xf numFmtId="164" fontId="24" fillId="0" borderId="24" xfId="1" applyFont="1" applyBorder="1" applyAlignment="1" applyProtection="1">
      <alignment horizontal="left" wrapText="1"/>
    </xf>
    <xf numFmtId="164" fontId="24" fillId="0" borderId="19" xfId="1" applyFont="1" applyBorder="1" applyAlignment="1" applyProtection="1">
      <alignment horizontal="left" wrapText="1"/>
    </xf>
    <xf numFmtId="167" fontId="15" fillId="0" borderId="5" xfId="1" applyNumberFormat="1" applyFont="1" applyBorder="1" applyAlignment="1" applyProtection="1">
      <alignment horizontal="right" vertical="top" wrapText="1"/>
    </xf>
    <xf numFmtId="0" fontId="24" fillId="0" borderId="2" xfId="1" applyNumberFormat="1" applyFont="1" applyBorder="1" applyAlignment="1" applyProtection="1">
      <alignment horizontal="right" wrapText="1"/>
    </xf>
    <xf numFmtId="0" fontId="24" fillId="0" borderId="3" xfId="1" applyNumberFormat="1" applyFont="1" applyBorder="1" applyAlignment="1" applyProtection="1">
      <alignment horizontal="right" wrapText="1"/>
    </xf>
    <xf numFmtId="167" fontId="15" fillId="0" borderId="35" xfId="1" applyNumberFormat="1" applyFont="1" applyBorder="1" applyAlignment="1" applyProtection="1">
      <alignment horizontal="right" vertical="top" wrapText="1"/>
    </xf>
    <xf numFmtId="164" fontId="24" fillId="0" borderId="23" xfId="1" applyFont="1" applyBorder="1" applyAlignment="1" applyProtection="1">
      <alignment horizontal="left" wrapText="1"/>
    </xf>
    <xf numFmtId="164" fontId="24" fillId="0" borderId="0" xfId="1" applyFont="1" applyBorder="1" applyAlignment="1" applyProtection="1">
      <alignment horizontal="left" wrapText="1"/>
    </xf>
    <xf numFmtId="164" fontId="15" fillId="0" borderId="24" xfId="1" applyFont="1" applyBorder="1" applyAlignment="1" applyProtection="1">
      <alignment horizontal="left" vertical="top" wrapText="1"/>
    </xf>
    <xf numFmtId="164" fontId="15" fillId="0" borderId="19" xfId="1" applyFont="1" applyBorder="1" applyAlignment="1" applyProtection="1">
      <alignment horizontal="left" vertical="top" wrapText="1"/>
    </xf>
    <xf numFmtId="164" fontId="15" fillId="0" borderId="40" xfId="1" applyFont="1" applyBorder="1" applyAlignment="1" applyProtection="1">
      <alignment horizontal="left" vertical="top" wrapText="1"/>
    </xf>
    <xf numFmtId="166" fontId="24" fillId="0" borderId="0" xfId="1" applyNumberFormat="1" applyFont="1" applyBorder="1" applyAlignment="1" applyProtection="1">
      <alignment horizontal="right" wrapText="1"/>
    </xf>
    <xf numFmtId="166" fontId="24" fillId="0" borderId="18" xfId="1" applyNumberFormat="1" applyFont="1" applyBorder="1" applyAlignment="1" applyProtection="1">
      <alignment horizontal="right" wrapText="1"/>
    </xf>
    <xf numFmtId="166" fontId="24" fillId="0" borderId="19" xfId="1" applyNumberFormat="1" applyFont="1" applyBorder="1" applyAlignment="1" applyProtection="1">
      <alignment horizontal="right" wrapText="1"/>
    </xf>
    <xf numFmtId="166" fontId="24" fillId="0" borderId="29" xfId="1" applyNumberFormat="1" applyFont="1" applyBorder="1" applyAlignment="1" applyProtection="1">
      <alignment horizontal="right" wrapText="1"/>
    </xf>
    <xf numFmtId="164" fontId="24" fillId="0" borderId="25" xfId="1" applyFont="1" applyBorder="1" applyAlignment="1" applyProtection="1">
      <alignment horizontal="left" wrapText="1"/>
    </xf>
    <xf numFmtId="164" fontId="24" fillId="0" borderId="2" xfId="1" applyFont="1" applyBorder="1" applyAlignment="1" applyProtection="1">
      <alignment horizontal="left" wrapText="1"/>
    </xf>
    <xf numFmtId="164" fontId="15" fillId="0" borderId="41" xfId="1" applyFont="1" applyBorder="1" applyAlignment="1" applyProtection="1">
      <alignment horizontal="center" vertical="center"/>
    </xf>
    <xf numFmtId="164" fontId="15" fillId="0" borderId="31" xfId="1" applyFont="1" applyBorder="1" applyAlignment="1" applyProtection="1">
      <alignment horizontal="center" vertical="center"/>
    </xf>
    <xf numFmtId="164" fontId="15" fillId="0" borderId="42" xfId="1" applyFont="1" applyBorder="1" applyAlignment="1" applyProtection="1">
      <alignment horizontal="center" vertical="center" wrapText="1"/>
    </xf>
    <xf numFmtId="164" fontId="15" fillId="0" borderId="33" xfId="1" applyFont="1" applyBorder="1" applyAlignment="1" applyProtection="1">
      <alignment horizontal="center" vertical="center"/>
    </xf>
    <xf numFmtId="164" fontId="15" fillId="0" borderId="5" xfId="1" applyFont="1" applyBorder="1" applyAlignment="1" applyProtection="1">
      <alignment horizontal="center" vertical="center"/>
    </xf>
    <xf numFmtId="164" fontId="15" fillId="0" borderId="15" xfId="1" applyFont="1" applyBorder="1" applyAlignment="1" applyProtection="1">
      <alignment horizontal="center" vertical="top"/>
    </xf>
    <xf numFmtId="164" fontId="15" fillId="0" borderId="32" xfId="1" applyFont="1" applyBorder="1" applyAlignment="1" applyProtection="1">
      <alignment horizontal="center" vertical="center"/>
    </xf>
    <xf numFmtId="167" fontId="15" fillId="0" borderId="15" xfId="1" applyNumberFormat="1" applyFont="1" applyBorder="1" applyAlignment="1" applyProtection="1">
      <alignment horizontal="right" vertical="top" wrapText="1"/>
    </xf>
    <xf numFmtId="167" fontId="15" fillId="0" borderId="36" xfId="1" applyNumberFormat="1" applyFont="1" applyBorder="1" applyAlignment="1" applyProtection="1">
      <alignment horizontal="right" vertical="top" wrapText="1"/>
    </xf>
    <xf numFmtId="164" fontId="15" fillId="0" borderId="35" xfId="1" applyFont="1" applyBorder="1" applyAlignment="1" applyProtection="1">
      <alignment horizontal="center" vertical="center"/>
    </xf>
    <xf numFmtId="164" fontId="15" fillId="0" borderId="34" xfId="1" applyFont="1" applyBorder="1" applyAlignment="1" applyProtection="1">
      <alignment horizontal="center" vertical="center"/>
    </xf>
    <xf numFmtId="166" fontId="24" fillId="0" borderId="2" xfId="1" applyNumberFormat="1" applyFont="1" applyBorder="1" applyAlignment="1" applyProtection="1">
      <alignment horizontal="right" wrapText="1"/>
    </xf>
    <xf numFmtId="164" fontId="15" fillId="0" borderId="5" xfId="1" applyFont="1" applyBorder="1" applyAlignment="1" applyProtection="1">
      <alignment horizontal="left" vertical="top" wrapText="1"/>
    </xf>
  </cellXfs>
  <cellStyles count="7">
    <cellStyle name="Excel Built-in Normal" xfId="1"/>
    <cellStyle name="Heading" xfId="2"/>
    <cellStyle name="Heading1" xfId="3"/>
    <cellStyle name="Komma" xfId="4" builtinId="3"/>
    <cellStyle name="Result" xfId="5"/>
    <cellStyle name="Result2" xfId="6"/>
    <cellStyle name="Standard" xfId="0" builtinId="0"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3075"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4099"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5123"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6147"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19050</xdr:colOff>
      <xdr:row>31</xdr:row>
      <xdr:rowOff>85725</xdr:rowOff>
    </xdr:from>
    <xdr:to>
      <xdr:col>18</xdr:col>
      <xdr:colOff>66675</xdr:colOff>
      <xdr:row>35</xdr:row>
      <xdr:rowOff>76200</xdr:rowOff>
    </xdr:to>
    <xdr:pic>
      <xdr:nvPicPr>
        <xdr:cNvPr id="7171"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58300"/>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19050</xdr:colOff>
      <xdr:row>55</xdr:row>
      <xdr:rowOff>85725</xdr:rowOff>
    </xdr:from>
    <xdr:to>
      <xdr:col>18</xdr:col>
      <xdr:colOff>66675</xdr:colOff>
      <xdr:row>59</xdr:row>
      <xdr:rowOff>76200</xdr:rowOff>
    </xdr:to>
    <xdr:pic>
      <xdr:nvPicPr>
        <xdr:cNvPr id="8195"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48775"/>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19050</xdr:colOff>
      <xdr:row>55</xdr:row>
      <xdr:rowOff>85725</xdr:rowOff>
    </xdr:from>
    <xdr:to>
      <xdr:col>18</xdr:col>
      <xdr:colOff>66675</xdr:colOff>
      <xdr:row>59</xdr:row>
      <xdr:rowOff>76200</xdr:rowOff>
    </xdr:to>
    <xdr:pic>
      <xdr:nvPicPr>
        <xdr:cNvPr id="9219"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48775"/>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19050</xdr:colOff>
      <xdr:row>55</xdr:row>
      <xdr:rowOff>85725</xdr:rowOff>
    </xdr:from>
    <xdr:to>
      <xdr:col>18</xdr:col>
      <xdr:colOff>66675</xdr:colOff>
      <xdr:row>59</xdr:row>
      <xdr:rowOff>76200</xdr:rowOff>
    </xdr:to>
    <xdr:pic>
      <xdr:nvPicPr>
        <xdr:cNvPr id="10243" name="Grafik 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9248775"/>
          <a:ext cx="1476375"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O130"/>
  <sheetViews>
    <sheetView tabSelected="1" view="pageBreakPreview" zoomScaleSheetLayoutView="100" workbookViewId="0">
      <selection activeCell="E1" sqref="E1:F1"/>
    </sheetView>
  </sheetViews>
  <sheetFormatPr baseColWidth="10" defaultColWidth="10.5" defaultRowHeight="15" x14ac:dyDescent="0.25"/>
  <cols>
    <col min="1" max="1" width="3.5" style="3" bestFit="1" customWidth="1"/>
    <col min="2" max="2" width="5.625" style="3" bestFit="1" customWidth="1"/>
    <col min="3" max="3" width="5.875" style="3" bestFit="1" customWidth="1"/>
    <col min="4" max="4" width="22.625" style="3" customWidth="1"/>
    <col min="5" max="5" width="24.5" style="3" customWidth="1"/>
    <col min="6" max="6" width="18" style="3" customWidth="1"/>
    <col min="7" max="7" width="14.625" style="3" customWidth="1"/>
    <col min="8" max="8" width="5.125" style="3" customWidth="1"/>
    <col min="9" max="9" width="8.375" style="3" bestFit="1" customWidth="1"/>
    <col min="10" max="10" width="5.25" style="3" bestFit="1" customWidth="1"/>
    <col min="11" max="11" width="30.125" style="3" customWidth="1"/>
    <col min="12" max="12" width="14" style="3" customWidth="1"/>
    <col min="13" max="13" width="14.625" style="56" customWidth="1"/>
    <col min="14" max="14" width="10.125" style="56" customWidth="1"/>
    <col min="15" max="15" width="45" style="56" customWidth="1"/>
    <col min="16" max="16384" width="10.5" style="3"/>
  </cols>
  <sheetData>
    <row r="1" spans="1:15" ht="18.75" customHeight="1" x14ac:dyDescent="0.25">
      <c r="A1" s="101" t="s">
        <v>51</v>
      </c>
      <c r="B1" s="102"/>
      <c r="C1" s="102"/>
      <c r="D1" s="102"/>
      <c r="E1" s="105" t="s">
        <v>69</v>
      </c>
      <c r="F1" s="105"/>
      <c r="G1" s="97" t="s">
        <v>40</v>
      </c>
      <c r="H1" s="98"/>
      <c r="I1" s="127"/>
      <c r="J1" s="128"/>
      <c r="K1" s="31" t="s">
        <v>43</v>
      </c>
      <c r="L1" s="49" t="s">
        <v>28</v>
      </c>
      <c r="M1" s="129" t="s">
        <v>57</v>
      </c>
      <c r="N1" s="130"/>
      <c r="O1" s="131"/>
    </row>
    <row r="2" spans="1:15" ht="18.75" customHeight="1" x14ac:dyDescent="0.25">
      <c r="A2" s="103" t="s">
        <v>52</v>
      </c>
      <c r="B2" s="104"/>
      <c r="C2" s="104"/>
      <c r="D2" s="104"/>
      <c r="E2" s="106" t="s">
        <v>65</v>
      </c>
      <c r="F2" s="106"/>
      <c r="G2" s="99" t="s">
        <v>41</v>
      </c>
      <c r="H2" s="100"/>
      <c r="I2" s="106"/>
      <c r="J2" s="110"/>
      <c r="K2" s="32" t="s">
        <v>49</v>
      </c>
      <c r="L2" s="78">
        <f ca="1">TODAY()</f>
        <v>42272</v>
      </c>
      <c r="M2" s="132" t="s">
        <v>62</v>
      </c>
      <c r="N2" s="133"/>
      <c r="O2" s="51" t="s">
        <v>89</v>
      </c>
    </row>
    <row r="3" spans="1:15" ht="18.75" customHeight="1" x14ac:dyDescent="0.25">
      <c r="A3" s="103" t="s">
        <v>53</v>
      </c>
      <c r="B3" s="104"/>
      <c r="C3" s="104"/>
      <c r="D3" s="104"/>
      <c r="E3" s="107" t="s">
        <v>66</v>
      </c>
      <c r="F3" s="107"/>
      <c r="G3" s="99" t="s">
        <v>39</v>
      </c>
      <c r="H3" s="100"/>
      <c r="I3" s="106"/>
      <c r="J3" s="110"/>
      <c r="K3" s="33" t="s">
        <v>44</v>
      </c>
      <c r="L3" s="50" t="s">
        <v>134</v>
      </c>
      <c r="M3" s="132" t="s">
        <v>63</v>
      </c>
      <c r="N3" s="133"/>
      <c r="O3" s="51" t="s">
        <v>90</v>
      </c>
    </row>
    <row r="4" spans="1:15" ht="18.75" customHeight="1" x14ac:dyDescent="0.25">
      <c r="A4" s="103" t="s">
        <v>54</v>
      </c>
      <c r="B4" s="104"/>
      <c r="C4" s="104"/>
      <c r="D4" s="104"/>
      <c r="E4" s="107" t="s">
        <v>67</v>
      </c>
      <c r="F4" s="107"/>
      <c r="G4" s="99" t="s">
        <v>48</v>
      </c>
      <c r="H4" s="100"/>
      <c r="I4" s="106"/>
      <c r="J4" s="110"/>
      <c r="K4" s="32" t="s">
        <v>45</v>
      </c>
      <c r="L4" s="50" t="s">
        <v>135</v>
      </c>
      <c r="M4" s="116" t="s">
        <v>68</v>
      </c>
      <c r="N4" s="117"/>
      <c r="O4" s="51" t="s">
        <v>91</v>
      </c>
    </row>
    <row r="5" spans="1:15" ht="18.75" customHeight="1" x14ac:dyDescent="0.25">
      <c r="A5" s="103" t="s">
        <v>55</v>
      </c>
      <c r="B5" s="104"/>
      <c r="C5" s="104"/>
      <c r="D5" s="104"/>
      <c r="E5" s="107" t="s">
        <v>87</v>
      </c>
      <c r="F5" s="107"/>
      <c r="G5" s="99" t="s">
        <v>38</v>
      </c>
      <c r="H5" s="100"/>
      <c r="I5" s="106" t="s">
        <v>132</v>
      </c>
      <c r="J5" s="110"/>
      <c r="K5" s="34" t="s">
        <v>46</v>
      </c>
      <c r="L5" s="50" t="s">
        <v>59</v>
      </c>
      <c r="M5" s="118" t="s">
        <v>58</v>
      </c>
      <c r="N5" s="119"/>
      <c r="O5" s="120"/>
    </row>
    <row r="6" spans="1:15" ht="18.75" customHeight="1" thickBot="1" x14ac:dyDescent="0.3">
      <c r="A6" s="113" t="s">
        <v>56</v>
      </c>
      <c r="B6" s="114"/>
      <c r="C6" s="114"/>
      <c r="D6" s="114"/>
      <c r="E6" s="115" t="s">
        <v>88</v>
      </c>
      <c r="F6" s="115"/>
      <c r="G6" s="108" t="s">
        <v>42</v>
      </c>
      <c r="H6" s="109"/>
      <c r="I6" s="111" t="s">
        <v>20</v>
      </c>
      <c r="J6" s="112"/>
      <c r="K6" s="35" t="s">
        <v>47</v>
      </c>
      <c r="L6" s="52" t="s">
        <v>50</v>
      </c>
      <c r="M6" s="121" t="s">
        <v>64</v>
      </c>
      <c r="N6" s="122"/>
      <c r="O6" s="123"/>
    </row>
    <row r="7" spans="1:15" ht="30" customHeight="1" thickBot="1" x14ac:dyDescent="0.3">
      <c r="A7" s="25" t="s">
        <v>60</v>
      </c>
      <c r="B7" s="26" t="s">
        <v>21</v>
      </c>
      <c r="C7" s="27" t="s">
        <v>61</v>
      </c>
      <c r="D7" s="28" t="s">
        <v>22</v>
      </c>
      <c r="E7" s="27" t="s">
        <v>23</v>
      </c>
      <c r="F7" s="26" t="s">
        <v>24</v>
      </c>
      <c r="G7" s="29" t="s">
        <v>25</v>
      </c>
      <c r="H7" s="27" t="s">
        <v>111</v>
      </c>
      <c r="I7" s="26" t="s">
        <v>110</v>
      </c>
      <c r="J7" s="30" t="s">
        <v>26</v>
      </c>
      <c r="K7" s="26" t="s">
        <v>27</v>
      </c>
      <c r="L7" s="30" t="str">
        <f>"Preisvorschau
 "&amp;ROUNDUP((SUM(L8:L130)+(SUM(L8:L130)*0.1)+(SUM(L8:L130)+(SUM(L8:L130)*0.1))*0.2)/$O$4,2)&amp;" €/STK"</f>
        <v>Preisvorschau
 4,54 €/STK</v>
      </c>
      <c r="M7" s="124" t="str">
        <f>$O$4&amp;" "&amp;"EH inkl. 10% GK = "&amp;ROUNDUP(SUM(L8:L130)+(SUM(L8:L130)*0.1),2)&amp;" €"&amp;" zuzgl. 20% MwSt."&amp;" = "&amp;ROUNDUP((SUM(L8:L130)+(SUM(L8:L130)*0.1)+(SUM(L8:L130)+(SUM(L8:L130)*0.1))*0.2),2)&amp;" €"&amp;"
 Bestellnummer"&amp;"    "&amp;"Bestellmenge "&amp;"  "&amp;"Bestelltextkontrolle - "&amp;"Ben. Ref.KZ"&amp;" - keine Feldlängenkontrolle "</f>
        <v xml:space="preserve">1 EH inkl. 10% GK = 3,78 € zuzgl. 20% MwSt. = 4,54 €
 Bestellnummer    Bestellmenge   Bestelltextkontrolle - Ben. Ref.KZ - keine Feldlängenkontrolle </v>
      </c>
      <c r="N7" s="125"/>
      <c r="O7" s="126"/>
    </row>
    <row r="8" spans="1:15" x14ac:dyDescent="0.25">
      <c r="A8" s="36">
        <v>1</v>
      </c>
      <c r="B8" s="57">
        <v>3</v>
      </c>
      <c r="C8" s="37" t="s">
        <v>35</v>
      </c>
      <c r="D8" s="38" t="s">
        <v>75</v>
      </c>
      <c r="E8" s="38" t="s">
        <v>76</v>
      </c>
      <c r="F8" s="79" t="s">
        <v>72</v>
      </c>
      <c r="G8" s="80" t="s">
        <v>77</v>
      </c>
      <c r="H8" s="72" t="s">
        <v>112</v>
      </c>
      <c r="I8" s="39">
        <v>6.3E-3</v>
      </c>
      <c r="J8" s="63">
        <v>1</v>
      </c>
      <c r="K8" s="40" t="s">
        <v>78</v>
      </c>
      <c r="L8" s="69">
        <f>IF($L$6="mit",IF(B8*I8*$O$4=0,"",B8*I8*$O$4),IF(B8*I8*$O$4=0,"",INT(CEILING(B8*$O$4,J8))*I8))</f>
        <v>1.89E-2</v>
      </c>
      <c r="M8" s="90" t="str">
        <f>IF(L8="","",G8)</f>
        <v>B1313-728489</v>
      </c>
      <c r="N8" s="91" t="str">
        <f>IF($L$6="mit",IF(B8*$O$4=0,"",B8*$O$4&amp;" "&amp;C8&amp;" "),IF(B8*$O$4=0,"",INT(CEILING(B8*$O$4,J8))&amp;" "&amp;C8&amp;" "))</f>
        <v xml:space="preserve">3 STK </v>
      </c>
      <c r="O8" s="53" t="str">
        <f>IF($O$4="","",D8&amp;" "&amp;E8)</f>
        <v>WID 22R R43, 53, 113</v>
      </c>
    </row>
    <row r="9" spans="1:15" x14ac:dyDescent="0.25">
      <c r="A9" s="41">
        <v>2</v>
      </c>
      <c r="B9" s="58">
        <v>4</v>
      </c>
      <c r="C9" s="42" t="s">
        <v>35</v>
      </c>
      <c r="D9" s="43" t="s">
        <v>79</v>
      </c>
      <c r="E9" s="43" t="s">
        <v>80</v>
      </c>
      <c r="F9" s="81" t="s">
        <v>72</v>
      </c>
      <c r="G9" s="82" t="s">
        <v>92</v>
      </c>
      <c r="H9" s="73" t="s">
        <v>113</v>
      </c>
      <c r="I9" s="44">
        <v>9.1999999999999998E-3</v>
      </c>
      <c r="J9" s="64">
        <v>50</v>
      </c>
      <c r="K9" s="45" t="s">
        <v>81</v>
      </c>
      <c r="L9" s="70">
        <f t="shared" ref="L9:L72" si="0">IF($L$6="mit",IF(B9*I9*$O$4=0,"",B9*I9*$O$4),IF(B9*I9*$O$4=0,"",INT(CEILING(B9*$O$4,J9))*I9))</f>
        <v>0.45999999999999996</v>
      </c>
      <c r="M9" s="92" t="str">
        <f>IF(L9="","",G9)</f>
        <v>B1314-213-2143</v>
      </c>
      <c r="N9" s="93" t="str">
        <f t="shared" ref="N9:N72" si="1">IF($L$6="mit",IF(B9*$O$4=0,"",B9*$O$4&amp;" "&amp;C9&amp;" "),IF(B9*$O$4=0,"",INT(CEILING(B9*$O$4,J9))&amp;" "&amp;C9&amp;" "))</f>
        <v xml:space="preserve">50 STK </v>
      </c>
      <c r="O9" s="54" t="str">
        <f t="shared" ref="O9:O72" si="2">IF($O$4="","",D9&amp;" "&amp;E9)</f>
        <v>WID 100R R119, 126, 128, 132</v>
      </c>
    </row>
    <row r="10" spans="1:15" x14ac:dyDescent="0.25">
      <c r="A10" s="41">
        <v>3</v>
      </c>
      <c r="B10" s="58">
        <v>1</v>
      </c>
      <c r="C10" s="42" t="s">
        <v>35</v>
      </c>
      <c r="D10" s="43" t="s">
        <v>82</v>
      </c>
      <c r="E10" s="43" t="s">
        <v>70</v>
      </c>
      <c r="F10" s="81" t="s">
        <v>72</v>
      </c>
      <c r="G10" s="82" t="s">
        <v>83</v>
      </c>
      <c r="H10" s="73" t="s">
        <v>114</v>
      </c>
      <c r="I10" s="44">
        <v>4.1000000000000003E-3</v>
      </c>
      <c r="J10" s="64">
        <v>1</v>
      </c>
      <c r="K10" s="45" t="s">
        <v>71</v>
      </c>
      <c r="L10" s="70">
        <f t="shared" si="0"/>
        <v>4.1000000000000003E-3</v>
      </c>
      <c r="M10" s="92" t="str">
        <f>IF(L10="","",G10)</f>
        <v>B1313-713271</v>
      </c>
      <c r="N10" s="94" t="str">
        <f t="shared" si="1"/>
        <v xml:space="preserve">1 STK </v>
      </c>
      <c r="O10" s="54" t="str">
        <f t="shared" si="2"/>
        <v>WID 110R R16</v>
      </c>
    </row>
    <row r="11" spans="1:15" x14ac:dyDescent="0.25">
      <c r="A11" s="41">
        <v>4</v>
      </c>
      <c r="B11" s="58">
        <v>8</v>
      </c>
      <c r="C11" s="42" t="s">
        <v>35</v>
      </c>
      <c r="D11" s="43" t="s">
        <v>84</v>
      </c>
      <c r="E11" s="43" t="s">
        <v>85</v>
      </c>
      <c r="F11" s="81" t="s">
        <v>72</v>
      </c>
      <c r="G11" s="82" t="s">
        <v>86</v>
      </c>
      <c r="H11" s="73" t="s">
        <v>115</v>
      </c>
      <c r="I11" s="44">
        <v>6.3E-3</v>
      </c>
      <c r="J11" s="64">
        <v>1</v>
      </c>
      <c r="K11" s="45" t="s">
        <v>78</v>
      </c>
      <c r="L11" s="70">
        <f t="shared" si="0"/>
        <v>5.04E-2</v>
      </c>
      <c r="M11" s="92" t="str">
        <f t="shared" ref="M11:M74" si="3">IF(L11="","",G11)</f>
        <v>B1313-728507</v>
      </c>
      <c r="N11" s="94" t="str">
        <f t="shared" si="1"/>
        <v xml:space="preserve">8 STK </v>
      </c>
      <c r="O11" s="54" t="str">
        <f t="shared" si="2"/>
        <v>WID 120R R45-52</v>
      </c>
    </row>
    <row r="12" spans="1:15" x14ac:dyDescent="0.25">
      <c r="A12" s="41">
        <v>5</v>
      </c>
      <c r="B12" s="58">
        <v>8</v>
      </c>
      <c r="C12" s="42" t="s">
        <v>35</v>
      </c>
      <c r="D12" s="43" t="s">
        <v>93</v>
      </c>
      <c r="E12" s="43" t="s">
        <v>94</v>
      </c>
      <c r="F12" s="81" t="s">
        <v>72</v>
      </c>
      <c r="G12" s="82" t="s">
        <v>95</v>
      </c>
      <c r="H12" s="73" t="s">
        <v>116</v>
      </c>
      <c r="I12" s="44">
        <v>4.1000000000000003E-3</v>
      </c>
      <c r="J12" s="64">
        <v>1</v>
      </c>
      <c r="K12" s="45" t="s">
        <v>71</v>
      </c>
      <c r="L12" s="70">
        <f t="shared" si="0"/>
        <v>3.2800000000000003E-2</v>
      </c>
      <c r="M12" s="92" t="str">
        <f t="shared" si="3"/>
        <v>B1313-713282</v>
      </c>
      <c r="N12" s="94" t="str">
        <f t="shared" si="1"/>
        <v xml:space="preserve">8 STK </v>
      </c>
      <c r="O12" s="54" t="str">
        <f t="shared" si="2"/>
        <v>WID 330R R12, 18, 25, 28-30</v>
      </c>
    </row>
    <row r="13" spans="1:15" x14ac:dyDescent="0.25">
      <c r="A13" s="41"/>
      <c r="B13" s="58"/>
      <c r="C13" s="42" t="s">
        <v>73</v>
      </c>
      <c r="D13" s="43" t="s">
        <v>74</v>
      </c>
      <c r="E13" s="43" t="s">
        <v>96</v>
      </c>
      <c r="F13" s="81"/>
      <c r="G13" s="82"/>
      <c r="H13" s="73"/>
      <c r="I13" s="44"/>
      <c r="J13" s="64"/>
      <c r="K13" s="45"/>
      <c r="L13" s="70" t="str">
        <f t="shared" si="0"/>
        <v/>
      </c>
      <c r="M13" s="92" t="str">
        <f t="shared" si="3"/>
        <v/>
      </c>
      <c r="N13" s="94" t="str">
        <f t="shared" si="1"/>
        <v/>
      </c>
      <c r="O13" s="54" t="str">
        <f t="shared" si="2"/>
        <v>" R33-34</v>
      </c>
    </row>
    <row r="14" spans="1:15" x14ac:dyDescent="0.25">
      <c r="A14" s="41">
        <v>6</v>
      </c>
      <c r="B14" s="58">
        <v>34</v>
      </c>
      <c r="C14" s="42" t="s">
        <v>35</v>
      </c>
      <c r="D14" s="43" t="s">
        <v>93</v>
      </c>
      <c r="E14" s="43" t="s">
        <v>129</v>
      </c>
      <c r="F14" s="81" t="s">
        <v>72</v>
      </c>
      <c r="G14" s="82" t="s">
        <v>97</v>
      </c>
      <c r="H14" s="73" t="s">
        <v>116</v>
      </c>
      <c r="I14" s="44">
        <v>6.3E-3</v>
      </c>
      <c r="J14" s="64">
        <v>1</v>
      </c>
      <c r="K14" s="45" t="s">
        <v>78</v>
      </c>
      <c r="L14" s="70">
        <f t="shared" si="0"/>
        <v>0.2142</v>
      </c>
      <c r="M14" s="92" t="str">
        <f t="shared" si="3"/>
        <v>B1313-728517</v>
      </c>
      <c r="N14" s="94" t="str">
        <f t="shared" si="1"/>
        <v xml:space="preserve">34 STK </v>
      </c>
      <c r="O14" s="54" t="str">
        <f t="shared" si="2"/>
        <v>WID 330R R1-11, 13, 17, 19, 22-24, 86-88,</v>
      </c>
    </row>
    <row r="15" spans="1:15" x14ac:dyDescent="0.25">
      <c r="A15" s="41"/>
      <c r="B15" s="58"/>
      <c r="C15" s="42" t="s">
        <v>73</v>
      </c>
      <c r="D15" s="43" t="s">
        <v>74</v>
      </c>
      <c r="E15" s="43" t="s">
        <v>131</v>
      </c>
      <c r="F15" s="81"/>
      <c r="G15" s="82"/>
      <c r="H15" s="73"/>
      <c r="I15" s="44"/>
      <c r="J15" s="64"/>
      <c r="K15" s="45"/>
      <c r="L15" s="70" t="str">
        <f t="shared" si="0"/>
        <v/>
      </c>
      <c r="M15" s="92" t="str">
        <f t="shared" si="3"/>
        <v/>
      </c>
      <c r="N15" s="94" t="str">
        <f t="shared" si="1"/>
        <v/>
      </c>
      <c r="O15" s="54" t="str">
        <f t="shared" si="2"/>
        <v>" R91-94, 96-100, 102-103, 107,</v>
      </c>
    </row>
    <row r="16" spans="1:15" x14ac:dyDescent="0.25">
      <c r="A16" s="41"/>
      <c r="B16" s="58"/>
      <c r="C16" s="42" t="s">
        <v>73</v>
      </c>
      <c r="D16" s="43" t="s">
        <v>74</v>
      </c>
      <c r="E16" s="43" t="s">
        <v>125</v>
      </c>
      <c r="F16" s="81"/>
      <c r="G16" s="82"/>
      <c r="H16" s="73"/>
      <c r="I16" s="44"/>
      <c r="J16" s="64"/>
      <c r="K16" s="45"/>
      <c r="L16" s="70" t="str">
        <f t="shared" si="0"/>
        <v/>
      </c>
      <c r="M16" s="92" t="str">
        <f t="shared" si="3"/>
        <v/>
      </c>
      <c r="N16" s="94" t="str">
        <f t="shared" si="1"/>
        <v/>
      </c>
      <c r="O16" s="54" t="str">
        <f t="shared" si="2"/>
        <v>" R109, 112</v>
      </c>
    </row>
    <row r="17" spans="1:15" x14ac:dyDescent="0.25">
      <c r="A17" s="41">
        <v>7</v>
      </c>
      <c r="B17" s="58">
        <v>12</v>
      </c>
      <c r="C17" s="42" t="s">
        <v>35</v>
      </c>
      <c r="D17" s="43" t="s">
        <v>98</v>
      </c>
      <c r="E17" s="43" t="s">
        <v>130</v>
      </c>
      <c r="F17" s="81" t="s">
        <v>72</v>
      </c>
      <c r="G17" s="82" t="s">
        <v>99</v>
      </c>
      <c r="H17" s="73" t="s">
        <v>117</v>
      </c>
      <c r="I17" s="44">
        <v>6.3E-3</v>
      </c>
      <c r="J17" s="64">
        <v>50</v>
      </c>
      <c r="K17" s="45" t="s">
        <v>78</v>
      </c>
      <c r="L17" s="70">
        <f t="shared" si="0"/>
        <v>0.315</v>
      </c>
      <c r="M17" s="92" t="str">
        <f t="shared" si="3"/>
        <v>B1313-728529</v>
      </c>
      <c r="N17" s="94" t="str">
        <f t="shared" si="1"/>
        <v xml:space="preserve">50 STK </v>
      </c>
      <c r="O17" s="54" t="str">
        <f t="shared" si="2"/>
        <v>WID 1k R14, 20, 79-83, 85, 89, 101, 108,</v>
      </c>
    </row>
    <row r="18" spans="1:15" x14ac:dyDescent="0.25">
      <c r="A18" s="41"/>
      <c r="B18" s="58"/>
      <c r="C18" s="42" t="s">
        <v>73</v>
      </c>
      <c r="D18" s="43" t="s">
        <v>74</v>
      </c>
      <c r="E18" s="43" t="s">
        <v>126</v>
      </c>
      <c r="F18" s="81"/>
      <c r="G18" s="82"/>
      <c r="H18" s="73"/>
      <c r="I18" s="44"/>
      <c r="J18" s="64"/>
      <c r="K18" s="45"/>
      <c r="L18" s="70" t="str">
        <f t="shared" si="0"/>
        <v/>
      </c>
      <c r="M18" s="92" t="str">
        <f t="shared" si="3"/>
        <v/>
      </c>
      <c r="N18" s="94" t="str">
        <f t="shared" si="1"/>
        <v/>
      </c>
      <c r="O18" s="54" t="str">
        <f t="shared" si="2"/>
        <v>" R110</v>
      </c>
    </row>
    <row r="19" spans="1:15" x14ac:dyDescent="0.25">
      <c r="A19" s="41">
        <v>8</v>
      </c>
      <c r="B19" s="58">
        <v>1</v>
      </c>
      <c r="C19" s="42" t="s">
        <v>35</v>
      </c>
      <c r="D19" s="43" t="s">
        <v>100</v>
      </c>
      <c r="E19" s="43" t="s">
        <v>101</v>
      </c>
      <c r="F19" s="81" t="s">
        <v>72</v>
      </c>
      <c r="G19" s="82" t="s">
        <v>102</v>
      </c>
      <c r="H19" s="73" t="s">
        <v>118</v>
      </c>
      <c r="I19" s="44">
        <v>5.1999999999999998E-3</v>
      </c>
      <c r="J19" s="64">
        <v>50</v>
      </c>
      <c r="K19" s="45" t="s">
        <v>81</v>
      </c>
      <c r="L19" s="70">
        <f t="shared" si="0"/>
        <v>0.26</v>
      </c>
      <c r="M19" s="92" t="str">
        <f t="shared" si="3"/>
        <v>B1314-213-2367</v>
      </c>
      <c r="N19" s="94" t="str">
        <f t="shared" si="1"/>
        <v xml:space="preserve">50 STK </v>
      </c>
      <c r="O19" s="54" t="str">
        <f t="shared" si="2"/>
        <v>WID 4k7 R106</v>
      </c>
    </row>
    <row r="20" spans="1:15" x14ac:dyDescent="0.25">
      <c r="A20" s="41">
        <v>9</v>
      </c>
      <c r="B20" s="58">
        <v>5</v>
      </c>
      <c r="C20" s="42" t="s">
        <v>35</v>
      </c>
      <c r="D20" s="43" t="s">
        <v>103</v>
      </c>
      <c r="E20" s="43" t="s">
        <v>104</v>
      </c>
      <c r="F20" s="81" t="s">
        <v>72</v>
      </c>
      <c r="G20" s="82" t="s">
        <v>105</v>
      </c>
      <c r="H20" s="73" t="s">
        <v>119</v>
      </c>
      <c r="I20" s="44">
        <v>9.1999999999999998E-3</v>
      </c>
      <c r="J20" s="64">
        <v>50</v>
      </c>
      <c r="K20" s="45" t="s">
        <v>81</v>
      </c>
      <c r="L20" s="70">
        <f t="shared" si="0"/>
        <v>0.45999999999999996</v>
      </c>
      <c r="M20" s="92" t="str">
        <f t="shared" si="3"/>
        <v>B1314-740-8805</v>
      </c>
      <c r="N20" s="94" t="str">
        <f t="shared" si="1"/>
        <v xml:space="preserve">50 STK </v>
      </c>
      <c r="O20" s="54" t="str">
        <f t="shared" si="2"/>
        <v>WID 10k R115-116, 121, 124, 130</v>
      </c>
    </row>
    <row r="21" spans="1:15" x14ac:dyDescent="0.25">
      <c r="A21" s="41">
        <v>10</v>
      </c>
      <c r="B21" s="58">
        <v>2</v>
      </c>
      <c r="C21" s="42" t="s">
        <v>35</v>
      </c>
      <c r="D21" s="43" t="s">
        <v>106</v>
      </c>
      <c r="E21" s="43" t="s">
        <v>107</v>
      </c>
      <c r="F21" s="81" t="s">
        <v>72</v>
      </c>
      <c r="G21" s="82" t="s">
        <v>108</v>
      </c>
      <c r="H21" s="73" t="s">
        <v>120</v>
      </c>
      <c r="I21" s="44">
        <v>4.1000000000000003E-3</v>
      </c>
      <c r="J21" s="64">
        <v>1</v>
      </c>
      <c r="K21" s="45" t="s">
        <v>71</v>
      </c>
      <c r="L21" s="70">
        <f t="shared" si="0"/>
        <v>8.2000000000000007E-3</v>
      </c>
      <c r="M21" s="92" t="str">
        <f t="shared" si="3"/>
        <v>B1313-713342</v>
      </c>
      <c r="N21" s="94" t="str">
        <f t="shared" si="1"/>
        <v xml:space="preserve">2 STK </v>
      </c>
      <c r="O21" s="54" t="str">
        <f t="shared" si="2"/>
        <v>WID 100k R26, 27</v>
      </c>
    </row>
    <row r="22" spans="1:15" x14ac:dyDescent="0.25">
      <c r="A22" s="41">
        <v>11</v>
      </c>
      <c r="B22" s="58">
        <v>39</v>
      </c>
      <c r="C22" s="42" t="s">
        <v>35</v>
      </c>
      <c r="D22" s="43" t="s">
        <v>106</v>
      </c>
      <c r="E22" s="43" t="s">
        <v>128</v>
      </c>
      <c r="F22" s="81" t="s">
        <v>72</v>
      </c>
      <c r="G22" s="82" t="s">
        <v>109</v>
      </c>
      <c r="H22" s="73" t="s">
        <v>120</v>
      </c>
      <c r="I22" s="44">
        <v>1.72E-2</v>
      </c>
      <c r="J22" s="64">
        <v>50</v>
      </c>
      <c r="K22" s="45" t="s">
        <v>78</v>
      </c>
      <c r="L22" s="70">
        <f t="shared" si="0"/>
        <v>0.86</v>
      </c>
      <c r="M22" s="92" t="str">
        <f t="shared" si="3"/>
        <v>B1314-679-1761P</v>
      </c>
      <c r="N22" s="94" t="str">
        <f t="shared" si="1"/>
        <v xml:space="preserve">50 STK </v>
      </c>
      <c r="O22" s="54" t="str">
        <f t="shared" si="2"/>
        <v>WID 100k R35-42, 54-78, 84, 90, 95, 104,</v>
      </c>
    </row>
    <row r="23" spans="1:15" x14ac:dyDescent="0.25">
      <c r="A23" s="41"/>
      <c r="B23" s="58"/>
      <c r="C23" s="42" t="s">
        <v>73</v>
      </c>
      <c r="D23" s="43" t="s">
        <v>74</v>
      </c>
      <c r="E23" s="43" t="s">
        <v>127</v>
      </c>
      <c r="F23" s="81"/>
      <c r="G23" s="82"/>
      <c r="H23" s="73"/>
      <c r="I23" s="44"/>
      <c r="J23" s="64"/>
      <c r="K23" s="45"/>
      <c r="L23" s="70" t="str">
        <f t="shared" si="0"/>
        <v/>
      </c>
      <c r="M23" s="92" t="str">
        <f t="shared" si="3"/>
        <v/>
      </c>
      <c r="N23" s="94" t="str">
        <f t="shared" si="1"/>
        <v/>
      </c>
      <c r="O23" s="54" t="str">
        <f t="shared" si="2"/>
        <v>" R105, 111</v>
      </c>
    </row>
    <row r="24" spans="1:15" x14ac:dyDescent="0.25">
      <c r="A24" s="41">
        <v>12</v>
      </c>
      <c r="B24" s="58">
        <v>2</v>
      </c>
      <c r="C24" s="42" t="s">
        <v>35</v>
      </c>
      <c r="D24" s="43" t="s">
        <v>124</v>
      </c>
      <c r="E24" s="43" t="s">
        <v>121</v>
      </c>
      <c r="F24" s="81" t="s">
        <v>72</v>
      </c>
      <c r="G24" s="82" t="s">
        <v>122</v>
      </c>
      <c r="H24" s="73" t="s">
        <v>133</v>
      </c>
      <c r="I24" s="44">
        <v>1.4999999999999999E-2</v>
      </c>
      <c r="J24" s="64">
        <v>50</v>
      </c>
      <c r="K24" s="45" t="s">
        <v>123</v>
      </c>
      <c r="L24" s="70">
        <f t="shared" si="0"/>
        <v>0.75</v>
      </c>
      <c r="M24" s="92" t="str">
        <f t="shared" si="3"/>
        <v>B1314-436-7925</v>
      </c>
      <c r="N24" s="94" t="str">
        <f t="shared" si="1"/>
        <v xml:space="preserve">50 STK </v>
      </c>
      <c r="O24" s="54" t="str">
        <f t="shared" si="2"/>
        <v>TRANS N BC846BW V30-33, 52-54</v>
      </c>
    </row>
    <row r="25" spans="1:15" x14ac:dyDescent="0.25">
      <c r="A25" s="41"/>
      <c r="B25" s="58"/>
      <c r="C25" s="42"/>
      <c r="D25" s="43"/>
      <c r="E25" s="43"/>
      <c r="F25" s="81"/>
      <c r="G25" s="82"/>
      <c r="H25" s="73"/>
      <c r="I25" s="44"/>
      <c r="J25" s="64"/>
      <c r="K25" s="45"/>
      <c r="L25" s="70" t="str">
        <f t="shared" si="0"/>
        <v/>
      </c>
      <c r="M25" s="92" t="str">
        <f t="shared" si="3"/>
        <v/>
      </c>
      <c r="N25" s="94" t="str">
        <f t="shared" si="1"/>
        <v/>
      </c>
      <c r="O25" s="54" t="str">
        <f t="shared" si="2"/>
        <v xml:space="preserve"> </v>
      </c>
    </row>
    <row r="26" spans="1:15" x14ac:dyDescent="0.25">
      <c r="A26" s="41"/>
      <c r="B26" s="58"/>
      <c r="C26" s="42"/>
      <c r="D26" s="43"/>
      <c r="E26" s="43"/>
      <c r="F26" s="81"/>
      <c r="G26" s="82"/>
      <c r="H26" s="73"/>
      <c r="I26" s="44"/>
      <c r="J26" s="64"/>
      <c r="K26" s="45"/>
      <c r="L26" s="70" t="str">
        <f t="shared" si="0"/>
        <v/>
      </c>
      <c r="M26" s="92" t="str">
        <f t="shared" si="3"/>
        <v/>
      </c>
      <c r="N26" s="94" t="str">
        <f t="shared" si="1"/>
        <v/>
      </c>
      <c r="O26" s="54" t="str">
        <f t="shared" si="2"/>
        <v xml:space="preserve"> </v>
      </c>
    </row>
    <row r="27" spans="1:15" x14ac:dyDescent="0.25">
      <c r="A27" s="41"/>
      <c r="B27" s="58"/>
      <c r="C27" s="42"/>
      <c r="D27" s="43"/>
      <c r="E27" s="43"/>
      <c r="F27" s="81"/>
      <c r="G27" s="82"/>
      <c r="H27" s="73"/>
      <c r="I27" s="44"/>
      <c r="J27" s="64"/>
      <c r="K27" s="45"/>
      <c r="L27" s="70" t="str">
        <f t="shared" si="0"/>
        <v/>
      </c>
      <c r="M27" s="92" t="str">
        <f t="shared" si="3"/>
        <v/>
      </c>
      <c r="N27" s="94" t="str">
        <f t="shared" si="1"/>
        <v/>
      </c>
      <c r="O27" s="54" t="str">
        <f t="shared" si="2"/>
        <v xml:space="preserve"> </v>
      </c>
    </row>
    <row r="28" spans="1:15" x14ac:dyDescent="0.25">
      <c r="A28" s="41"/>
      <c r="B28" s="58"/>
      <c r="C28" s="42"/>
      <c r="D28" s="43"/>
      <c r="E28" s="43"/>
      <c r="F28" s="81"/>
      <c r="G28" s="82"/>
      <c r="H28" s="73"/>
      <c r="I28" s="44"/>
      <c r="J28" s="64"/>
      <c r="K28" s="45"/>
      <c r="L28" s="70" t="str">
        <f t="shared" si="0"/>
        <v/>
      </c>
      <c r="M28" s="92" t="str">
        <f t="shared" si="3"/>
        <v/>
      </c>
      <c r="N28" s="94" t="str">
        <f t="shared" si="1"/>
        <v/>
      </c>
      <c r="O28" s="54" t="str">
        <f t="shared" si="2"/>
        <v xml:space="preserve"> </v>
      </c>
    </row>
    <row r="29" spans="1:15" x14ac:dyDescent="0.25">
      <c r="A29" s="41"/>
      <c r="B29" s="58"/>
      <c r="C29" s="42"/>
      <c r="D29" s="43"/>
      <c r="E29" s="43"/>
      <c r="F29" s="81"/>
      <c r="G29" s="82"/>
      <c r="H29" s="73"/>
      <c r="I29" s="44"/>
      <c r="J29" s="64"/>
      <c r="K29" s="45"/>
      <c r="L29" s="70" t="str">
        <f t="shared" si="0"/>
        <v/>
      </c>
      <c r="M29" s="92" t="str">
        <f t="shared" si="3"/>
        <v/>
      </c>
      <c r="N29" s="94" t="str">
        <f t="shared" si="1"/>
        <v/>
      </c>
      <c r="O29" s="54" t="str">
        <f t="shared" si="2"/>
        <v xml:space="preserve"> </v>
      </c>
    </row>
    <row r="30" spans="1:15" x14ac:dyDescent="0.25">
      <c r="A30" s="41"/>
      <c r="B30" s="58"/>
      <c r="C30" s="42"/>
      <c r="D30" s="43"/>
      <c r="E30" s="43"/>
      <c r="F30" s="81"/>
      <c r="G30" s="82"/>
      <c r="H30" s="73"/>
      <c r="I30" s="44"/>
      <c r="J30" s="64"/>
      <c r="K30" s="45"/>
      <c r="L30" s="70" t="str">
        <f t="shared" si="0"/>
        <v/>
      </c>
      <c r="M30" s="92" t="str">
        <f t="shared" si="3"/>
        <v/>
      </c>
      <c r="N30" s="94" t="str">
        <f t="shared" si="1"/>
        <v/>
      </c>
      <c r="O30" s="54" t="str">
        <f t="shared" si="2"/>
        <v xml:space="preserve"> </v>
      </c>
    </row>
    <row r="31" spans="1:15" x14ac:dyDescent="0.25">
      <c r="A31" s="41"/>
      <c r="B31" s="58"/>
      <c r="C31" s="42"/>
      <c r="D31" s="43"/>
      <c r="E31" s="43"/>
      <c r="F31" s="81"/>
      <c r="G31" s="82"/>
      <c r="H31" s="73"/>
      <c r="I31" s="44"/>
      <c r="J31" s="64"/>
      <c r="K31" s="45"/>
      <c r="L31" s="70" t="str">
        <f t="shared" si="0"/>
        <v/>
      </c>
      <c r="M31" s="92" t="str">
        <f t="shared" si="3"/>
        <v/>
      </c>
      <c r="N31" s="94" t="str">
        <f t="shared" si="1"/>
        <v/>
      </c>
      <c r="O31" s="54" t="str">
        <f t="shared" si="2"/>
        <v xml:space="preserve"> </v>
      </c>
    </row>
    <row r="32" spans="1:15" x14ac:dyDescent="0.25">
      <c r="A32" s="41"/>
      <c r="B32" s="58"/>
      <c r="C32" s="42"/>
      <c r="D32" s="43"/>
      <c r="E32" s="43"/>
      <c r="F32" s="81"/>
      <c r="G32" s="82"/>
      <c r="H32" s="73"/>
      <c r="I32" s="44"/>
      <c r="J32" s="64"/>
      <c r="K32" s="45"/>
      <c r="L32" s="70" t="str">
        <f t="shared" si="0"/>
        <v/>
      </c>
      <c r="M32" s="92" t="str">
        <f t="shared" si="3"/>
        <v/>
      </c>
      <c r="N32" s="94" t="str">
        <f t="shared" si="1"/>
        <v/>
      </c>
      <c r="O32" s="54" t="str">
        <f t="shared" si="2"/>
        <v xml:space="preserve"> </v>
      </c>
    </row>
    <row r="33" spans="1:15" x14ac:dyDescent="0.25">
      <c r="A33" s="41"/>
      <c r="B33" s="58"/>
      <c r="C33" s="42"/>
      <c r="D33" s="43"/>
      <c r="E33" s="43"/>
      <c r="F33" s="81"/>
      <c r="G33" s="82"/>
      <c r="H33" s="73"/>
      <c r="I33" s="44"/>
      <c r="J33" s="64"/>
      <c r="K33" s="45"/>
      <c r="L33" s="70" t="str">
        <f t="shared" si="0"/>
        <v/>
      </c>
      <c r="M33" s="92" t="str">
        <f t="shared" si="3"/>
        <v/>
      </c>
      <c r="N33" s="94" t="str">
        <f t="shared" si="1"/>
        <v/>
      </c>
      <c r="O33" s="54" t="str">
        <f t="shared" si="2"/>
        <v xml:space="preserve"> </v>
      </c>
    </row>
    <row r="34" spans="1:15" x14ac:dyDescent="0.25">
      <c r="A34" s="41"/>
      <c r="B34" s="58"/>
      <c r="C34" s="42"/>
      <c r="D34" s="43"/>
      <c r="E34" s="43"/>
      <c r="F34" s="81"/>
      <c r="G34" s="82"/>
      <c r="H34" s="73"/>
      <c r="I34" s="44"/>
      <c r="J34" s="64"/>
      <c r="K34" s="45"/>
      <c r="L34" s="70" t="str">
        <f t="shared" si="0"/>
        <v/>
      </c>
      <c r="M34" s="92" t="str">
        <f t="shared" si="3"/>
        <v/>
      </c>
      <c r="N34" s="94" t="str">
        <f t="shared" si="1"/>
        <v/>
      </c>
      <c r="O34" s="54" t="str">
        <f t="shared" si="2"/>
        <v xml:space="preserve"> </v>
      </c>
    </row>
    <row r="35" spans="1:15" x14ac:dyDescent="0.25">
      <c r="A35" s="41"/>
      <c r="B35" s="58"/>
      <c r="C35" s="42"/>
      <c r="D35" s="43"/>
      <c r="E35" s="43"/>
      <c r="F35" s="81"/>
      <c r="G35" s="82"/>
      <c r="H35" s="73"/>
      <c r="I35" s="44"/>
      <c r="J35" s="64"/>
      <c r="K35" s="45"/>
      <c r="L35" s="70" t="str">
        <f t="shared" si="0"/>
        <v/>
      </c>
      <c r="M35" s="92" t="str">
        <f t="shared" si="3"/>
        <v/>
      </c>
      <c r="N35" s="94" t="str">
        <f t="shared" si="1"/>
        <v/>
      </c>
      <c r="O35" s="54" t="str">
        <f t="shared" si="2"/>
        <v xml:space="preserve"> </v>
      </c>
    </row>
    <row r="36" spans="1:15" x14ac:dyDescent="0.25">
      <c r="A36" s="41"/>
      <c r="B36" s="58"/>
      <c r="C36" s="42"/>
      <c r="D36" s="43"/>
      <c r="E36" s="43"/>
      <c r="F36" s="81"/>
      <c r="G36" s="82"/>
      <c r="H36" s="73"/>
      <c r="I36" s="44"/>
      <c r="J36" s="64"/>
      <c r="K36" s="45"/>
      <c r="L36" s="70" t="str">
        <f t="shared" si="0"/>
        <v/>
      </c>
      <c r="M36" s="92" t="str">
        <f t="shared" si="3"/>
        <v/>
      </c>
      <c r="N36" s="94" t="str">
        <f t="shared" si="1"/>
        <v/>
      </c>
      <c r="O36" s="54" t="str">
        <f t="shared" si="2"/>
        <v xml:space="preserve"> </v>
      </c>
    </row>
    <row r="37" spans="1:15" x14ac:dyDescent="0.25">
      <c r="A37" s="41"/>
      <c r="B37" s="58"/>
      <c r="C37" s="42"/>
      <c r="D37" s="43"/>
      <c r="E37" s="43"/>
      <c r="F37" s="81"/>
      <c r="G37" s="82"/>
      <c r="H37" s="73"/>
      <c r="I37" s="44"/>
      <c r="J37" s="64"/>
      <c r="K37" s="45"/>
      <c r="L37" s="70" t="str">
        <f t="shared" si="0"/>
        <v/>
      </c>
      <c r="M37" s="92" t="str">
        <f t="shared" si="3"/>
        <v/>
      </c>
      <c r="N37" s="94" t="str">
        <f t="shared" si="1"/>
        <v/>
      </c>
      <c r="O37" s="54" t="str">
        <f t="shared" si="2"/>
        <v xml:space="preserve"> </v>
      </c>
    </row>
    <row r="38" spans="1:15" x14ac:dyDescent="0.25">
      <c r="A38" s="41"/>
      <c r="B38" s="58"/>
      <c r="C38" s="42"/>
      <c r="D38" s="43"/>
      <c r="E38" s="43"/>
      <c r="F38" s="81"/>
      <c r="G38" s="82"/>
      <c r="H38" s="73"/>
      <c r="I38" s="44"/>
      <c r="J38" s="64"/>
      <c r="K38" s="45"/>
      <c r="L38" s="70" t="str">
        <f t="shared" si="0"/>
        <v/>
      </c>
      <c r="M38" s="92" t="str">
        <f t="shared" si="3"/>
        <v/>
      </c>
      <c r="N38" s="94" t="str">
        <f t="shared" si="1"/>
        <v/>
      </c>
      <c r="O38" s="54" t="str">
        <f t="shared" si="2"/>
        <v xml:space="preserve"> </v>
      </c>
    </row>
    <row r="39" spans="1:15" x14ac:dyDescent="0.25">
      <c r="A39" s="41"/>
      <c r="B39" s="58"/>
      <c r="C39" s="42"/>
      <c r="D39" s="43"/>
      <c r="E39" s="43"/>
      <c r="F39" s="81"/>
      <c r="G39" s="82"/>
      <c r="H39" s="73"/>
      <c r="I39" s="44"/>
      <c r="J39" s="64"/>
      <c r="K39" s="45"/>
      <c r="L39" s="70" t="str">
        <f t="shared" si="0"/>
        <v/>
      </c>
      <c r="M39" s="92" t="str">
        <f t="shared" si="3"/>
        <v/>
      </c>
      <c r="N39" s="94" t="str">
        <f t="shared" si="1"/>
        <v/>
      </c>
      <c r="O39" s="54" t="str">
        <f t="shared" si="2"/>
        <v xml:space="preserve"> </v>
      </c>
    </row>
    <row r="40" spans="1:15" x14ac:dyDescent="0.25">
      <c r="A40" s="41"/>
      <c r="B40" s="58"/>
      <c r="C40" s="42"/>
      <c r="D40" s="43"/>
      <c r="E40" s="43"/>
      <c r="F40" s="81"/>
      <c r="G40" s="82"/>
      <c r="H40" s="73"/>
      <c r="I40" s="44"/>
      <c r="J40" s="64"/>
      <c r="K40" s="45"/>
      <c r="L40" s="70" t="str">
        <f t="shared" si="0"/>
        <v/>
      </c>
      <c r="M40" s="92" t="str">
        <f t="shared" si="3"/>
        <v/>
      </c>
      <c r="N40" s="94" t="str">
        <f t="shared" si="1"/>
        <v/>
      </c>
      <c r="O40" s="54" t="str">
        <f t="shared" si="2"/>
        <v xml:space="preserve"> </v>
      </c>
    </row>
    <row r="41" spans="1:15" x14ac:dyDescent="0.25">
      <c r="A41" s="41"/>
      <c r="B41" s="58"/>
      <c r="C41" s="42"/>
      <c r="D41" s="43"/>
      <c r="E41" s="43"/>
      <c r="F41" s="81"/>
      <c r="G41" s="82"/>
      <c r="H41" s="73"/>
      <c r="I41" s="44"/>
      <c r="J41" s="64"/>
      <c r="K41" s="45"/>
      <c r="L41" s="70" t="str">
        <f t="shared" si="0"/>
        <v/>
      </c>
      <c r="M41" s="92" t="str">
        <f t="shared" si="3"/>
        <v/>
      </c>
      <c r="N41" s="94" t="str">
        <f t="shared" si="1"/>
        <v/>
      </c>
      <c r="O41" s="54" t="str">
        <f t="shared" si="2"/>
        <v xml:space="preserve"> </v>
      </c>
    </row>
    <row r="42" spans="1:15" x14ac:dyDescent="0.25">
      <c r="A42" s="41"/>
      <c r="B42" s="58"/>
      <c r="C42" s="42"/>
      <c r="D42" s="43"/>
      <c r="E42" s="43"/>
      <c r="F42" s="81"/>
      <c r="G42" s="82"/>
      <c r="H42" s="73"/>
      <c r="I42" s="44"/>
      <c r="J42" s="64"/>
      <c r="K42" s="45"/>
      <c r="L42" s="70" t="str">
        <f t="shared" si="0"/>
        <v/>
      </c>
      <c r="M42" s="92" t="str">
        <f t="shared" si="3"/>
        <v/>
      </c>
      <c r="N42" s="94" t="str">
        <f t="shared" si="1"/>
        <v/>
      </c>
      <c r="O42" s="54" t="str">
        <f t="shared" si="2"/>
        <v xml:space="preserve"> </v>
      </c>
    </row>
    <row r="43" spans="1:15" x14ac:dyDescent="0.25">
      <c r="A43" s="41"/>
      <c r="B43" s="58"/>
      <c r="C43" s="42"/>
      <c r="D43" s="43"/>
      <c r="E43" s="43"/>
      <c r="F43" s="81"/>
      <c r="G43" s="82"/>
      <c r="H43" s="73"/>
      <c r="I43" s="44"/>
      <c r="J43" s="64"/>
      <c r="K43" s="45"/>
      <c r="L43" s="70" t="str">
        <f t="shared" si="0"/>
        <v/>
      </c>
      <c r="M43" s="92" t="str">
        <f t="shared" si="3"/>
        <v/>
      </c>
      <c r="N43" s="94" t="str">
        <f t="shared" si="1"/>
        <v/>
      </c>
      <c r="O43" s="54" t="str">
        <f t="shared" si="2"/>
        <v xml:space="preserve"> </v>
      </c>
    </row>
    <row r="44" spans="1:15" x14ac:dyDescent="0.25">
      <c r="A44" s="41"/>
      <c r="B44" s="58"/>
      <c r="C44" s="42"/>
      <c r="D44" s="43"/>
      <c r="E44" s="43"/>
      <c r="F44" s="81"/>
      <c r="G44" s="82"/>
      <c r="H44" s="73"/>
      <c r="I44" s="44"/>
      <c r="J44" s="64"/>
      <c r="K44" s="45"/>
      <c r="L44" s="70" t="str">
        <f t="shared" si="0"/>
        <v/>
      </c>
      <c r="M44" s="92" t="str">
        <f t="shared" si="3"/>
        <v/>
      </c>
      <c r="N44" s="94" t="str">
        <f t="shared" si="1"/>
        <v/>
      </c>
      <c r="O44" s="54" t="str">
        <f t="shared" si="2"/>
        <v xml:space="preserve"> </v>
      </c>
    </row>
    <row r="45" spans="1:15" x14ac:dyDescent="0.25">
      <c r="A45" s="41"/>
      <c r="B45" s="58"/>
      <c r="C45" s="42"/>
      <c r="D45" s="43"/>
      <c r="E45" s="43"/>
      <c r="F45" s="81"/>
      <c r="G45" s="82"/>
      <c r="H45" s="73"/>
      <c r="I45" s="44"/>
      <c r="J45" s="64"/>
      <c r="K45" s="45"/>
      <c r="L45" s="70" t="str">
        <f t="shared" si="0"/>
        <v/>
      </c>
      <c r="M45" s="92" t="str">
        <f t="shared" si="3"/>
        <v/>
      </c>
      <c r="N45" s="94" t="str">
        <f t="shared" si="1"/>
        <v/>
      </c>
      <c r="O45" s="54" t="str">
        <f t="shared" si="2"/>
        <v xml:space="preserve"> </v>
      </c>
    </row>
    <row r="46" spans="1:15" x14ac:dyDescent="0.25">
      <c r="A46" s="41"/>
      <c r="B46" s="58"/>
      <c r="C46" s="42"/>
      <c r="D46" s="43"/>
      <c r="E46" s="43"/>
      <c r="F46" s="81"/>
      <c r="G46" s="82"/>
      <c r="H46" s="73"/>
      <c r="I46" s="44"/>
      <c r="J46" s="64"/>
      <c r="K46" s="45"/>
      <c r="L46" s="70" t="str">
        <f t="shared" si="0"/>
        <v/>
      </c>
      <c r="M46" s="92" t="str">
        <f t="shared" si="3"/>
        <v/>
      </c>
      <c r="N46" s="94" t="str">
        <f t="shared" si="1"/>
        <v/>
      </c>
      <c r="O46" s="54" t="str">
        <f t="shared" si="2"/>
        <v xml:space="preserve"> </v>
      </c>
    </row>
    <row r="47" spans="1:15" x14ac:dyDescent="0.25">
      <c r="A47" s="41"/>
      <c r="B47" s="58"/>
      <c r="C47" s="42"/>
      <c r="D47" s="43"/>
      <c r="E47" s="43"/>
      <c r="F47" s="81"/>
      <c r="G47" s="82"/>
      <c r="H47" s="73"/>
      <c r="I47" s="44"/>
      <c r="J47" s="64"/>
      <c r="K47" s="45"/>
      <c r="L47" s="70" t="str">
        <f t="shared" si="0"/>
        <v/>
      </c>
      <c r="M47" s="92" t="str">
        <f t="shared" si="3"/>
        <v/>
      </c>
      <c r="N47" s="94" t="str">
        <f t="shared" si="1"/>
        <v/>
      </c>
      <c r="O47" s="54" t="str">
        <f t="shared" si="2"/>
        <v xml:space="preserve"> </v>
      </c>
    </row>
    <row r="48" spans="1:15" x14ac:dyDescent="0.25">
      <c r="A48" s="41"/>
      <c r="B48" s="58"/>
      <c r="C48" s="42"/>
      <c r="D48" s="43"/>
      <c r="E48" s="43"/>
      <c r="F48" s="81"/>
      <c r="G48" s="82"/>
      <c r="H48" s="73"/>
      <c r="I48" s="44"/>
      <c r="J48" s="64"/>
      <c r="K48" s="45"/>
      <c r="L48" s="70" t="str">
        <f t="shared" si="0"/>
        <v/>
      </c>
      <c r="M48" s="92" t="str">
        <f t="shared" si="3"/>
        <v/>
      </c>
      <c r="N48" s="94" t="str">
        <f t="shared" si="1"/>
        <v/>
      </c>
      <c r="O48" s="54" t="str">
        <f t="shared" si="2"/>
        <v xml:space="preserve"> </v>
      </c>
    </row>
    <row r="49" spans="1:15" x14ac:dyDescent="0.25">
      <c r="A49" s="41"/>
      <c r="B49" s="58"/>
      <c r="C49" s="42"/>
      <c r="D49" s="43"/>
      <c r="E49" s="43"/>
      <c r="F49" s="81"/>
      <c r="G49" s="82"/>
      <c r="H49" s="73"/>
      <c r="I49" s="44"/>
      <c r="J49" s="64"/>
      <c r="K49" s="45"/>
      <c r="L49" s="70" t="str">
        <f t="shared" si="0"/>
        <v/>
      </c>
      <c r="M49" s="92" t="str">
        <f t="shared" si="3"/>
        <v/>
      </c>
      <c r="N49" s="94" t="str">
        <f t="shared" si="1"/>
        <v/>
      </c>
      <c r="O49" s="54" t="str">
        <f t="shared" si="2"/>
        <v xml:space="preserve"> </v>
      </c>
    </row>
    <row r="50" spans="1:15" x14ac:dyDescent="0.25">
      <c r="A50" s="41"/>
      <c r="B50" s="58"/>
      <c r="C50" s="42"/>
      <c r="D50" s="43"/>
      <c r="E50" s="43"/>
      <c r="F50" s="81"/>
      <c r="G50" s="82"/>
      <c r="H50" s="73"/>
      <c r="I50" s="44"/>
      <c r="J50" s="64"/>
      <c r="K50" s="45"/>
      <c r="L50" s="70" t="str">
        <f t="shared" si="0"/>
        <v/>
      </c>
      <c r="M50" s="92" t="str">
        <f t="shared" si="3"/>
        <v/>
      </c>
      <c r="N50" s="94" t="str">
        <f t="shared" si="1"/>
        <v/>
      </c>
      <c r="O50" s="54" t="str">
        <f t="shared" si="2"/>
        <v xml:space="preserve"> </v>
      </c>
    </row>
    <row r="51" spans="1:15" x14ac:dyDescent="0.25">
      <c r="A51" s="41"/>
      <c r="B51" s="58"/>
      <c r="C51" s="42"/>
      <c r="D51" s="43"/>
      <c r="E51" s="43"/>
      <c r="F51" s="81"/>
      <c r="G51" s="82"/>
      <c r="H51" s="73"/>
      <c r="I51" s="44"/>
      <c r="J51" s="64"/>
      <c r="K51" s="45"/>
      <c r="L51" s="70" t="str">
        <f t="shared" si="0"/>
        <v/>
      </c>
      <c r="M51" s="92" t="str">
        <f t="shared" si="3"/>
        <v/>
      </c>
      <c r="N51" s="94" t="str">
        <f t="shared" si="1"/>
        <v/>
      </c>
      <c r="O51" s="54" t="str">
        <f t="shared" si="2"/>
        <v xml:space="preserve"> </v>
      </c>
    </row>
    <row r="52" spans="1:15" x14ac:dyDescent="0.25">
      <c r="A52" s="41"/>
      <c r="B52" s="58"/>
      <c r="C52" s="42"/>
      <c r="D52" s="43"/>
      <c r="E52" s="43"/>
      <c r="F52" s="81"/>
      <c r="G52" s="82"/>
      <c r="H52" s="73"/>
      <c r="I52" s="44"/>
      <c r="J52" s="64"/>
      <c r="K52" s="45"/>
      <c r="L52" s="70" t="str">
        <f t="shared" si="0"/>
        <v/>
      </c>
      <c r="M52" s="92" t="str">
        <f t="shared" si="3"/>
        <v/>
      </c>
      <c r="N52" s="94" t="str">
        <f t="shared" si="1"/>
        <v/>
      </c>
      <c r="O52" s="54" t="str">
        <f t="shared" si="2"/>
        <v xml:space="preserve"> </v>
      </c>
    </row>
    <row r="53" spans="1:15" x14ac:dyDescent="0.25">
      <c r="A53" s="41"/>
      <c r="B53" s="58"/>
      <c r="C53" s="42"/>
      <c r="D53" s="43"/>
      <c r="E53" s="43"/>
      <c r="F53" s="81"/>
      <c r="G53" s="82"/>
      <c r="H53" s="73"/>
      <c r="I53" s="44"/>
      <c r="J53" s="64"/>
      <c r="K53" s="45"/>
      <c r="L53" s="70" t="str">
        <f t="shared" si="0"/>
        <v/>
      </c>
      <c r="M53" s="92" t="str">
        <f t="shared" si="3"/>
        <v/>
      </c>
      <c r="N53" s="94" t="str">
        <f t="shared" si="1"/>
        <v/>
      </c>
      <c r="O53" s="54" t="str">
        <f t="shared" si="2"/>
        <v xml:space="preserve"> </v>
      </c>
    </row>
    <row r="54" spans="1:15" x14ac:dyDescent="0.25">
      <c r="A54" s="41"/>
      <c r="B54" s="58"/>
      <c r="C54" s="42"/>
      <c r="D54" s="43"/>
      <c r="E54" s="43"/>
      <c r="F54" s="81"/>
      <c r="G54" s="82"/>
      <c r="H54" s="73"/>
      <c r="I54" s="44"/>
      <c r="J54" s="64"/>
      <c r="K54" s="45"/>
      <c r="L54" s="70" t="str">
        <f t="shared" si="0"/>
        <v/>
      </c>
      <c r="M54" s="92" t="str">
        <f t="shared" si="3"/>
        <v/>
      </c>
      <c r="N54" s="94" t="str">
        <f t="shared" si="1"/>
        <v/>
      </c>
      <c r="O54" s="54" t="str">
        <f t="shared" si="2"/>
        <v xml:space="preserve"> </v>
      </c>
    </row>
    <row r="55" spans="1:15" x14ac:dyDescent="0.25">
      <c r="A55" s="41"/>
      <c r="B55" s="58"/>
      <c r="C55" s="42"/>
      <c r="D55" s="43"/>
      <c r="E55" s="43"/>
      <c r="F55" s="81"/>
      <c r="G55" s="82"/>
      <c r="H55" s="73"/>
      <c r="I55" s="44"/>
      <c r="J55" s="64"/>
      <c r="K55" s="45"/>
      <c r="L55" s="70" t="str">
        <f t="shared" si="0"/>
        <v/>
      </c>
      <c r="M55" s="92" t="str">
        <f t="shared" si="3"/>
        <v/>
      </c>
      <c r="N55" s="94" t="str">
        <f t="shared" si="1"/>
        <v/>
      </c>
      <c r="O55" s="54" t="str">
        <f t="shared" si="2"/>
        <v xml:space="preserve"> </v>
      </c>
    </row>
    <row r="56" spans="1:15" x14ac:dyDescent="0.25">
      <c r="A56" s="41"/>
      <c r="B56" s="58"/>
      <c r="C56" s="42"/>
      <c r="D56" s="43"/>
      <c r="E56" s="43"/>
      <c r="F56" s="81"/>
      <c r="G56" s="82"/>
      <c r="H56" s="73"/>
      <c r="I56" s="44"/>
      <c r="J56" s="64"/>
      <c r="K56" s="45"/>
      <c r="L56" s="70" t="str">
        <f t="shared" si="0"/>
        <v/>
      </c>
      <c r="M56" s="92" t="str">
        <f t="shared" si="3"/>
        <v/>
      </c>
      <c r="N56" s="94" t="str">
        <f t="shared" si="1"/>
        <v/>
      </c>
      <c r="O56" s="54" t="str">
        <f t="shared" si="2"/>
        <v xml:space="preserve"> </v>
      </c>
    </row>
    <row r="57" spans="1:15" x14ac:dyDescent="0.25">
      <c r="A57" s="41"/>
      <c r="B57" s="58"/>
      <c r="C57" s="42"/>
      <c r="D57" s="43"/>
      <c r="E57" s="43"/>
      <c r="F57" s="81"/>
      <c r="G57" s="82"/>
      <c r="H57" s="73"/>
      <c r="I57" s="44"/>
      <c r="J57" s="64"/>
      <c r="K57" s="45"/>
      <c r="L57" s="70" t="str">
        <f t="shared" si="0"/>
        <v/>
      </c>
      <c r="M57" s="92" t="str">
        <f t="shared" si="3"/>
        <v/>
      </c>
      <c r="N57" s="94" t="str">
        <f t="shared" si="1"/>
        <v/>
      </c>
      <c r="O57" s="54" t="str">
        <f t="shared" si="2"/>
        <v xml:space="preserve"> </v>
      </c>
    </row>
    <row r="58" spans="1:15" x14ac:dyDescent="0.25">
      <c r="A58" s="41"/>
      <c r="B58" s="58"/>
      <c r="C58" s="42"/>
      <c r="D58" s="43"/>
      <c r="E58" s="43"/>
      <c r="F58" s="81"/>
      <c r="G58" s="82"/>
      <c r="H58" s="73"/>
      <c r="I58" s="44"/>
      <c r="J58" s="64"/>
      <c r="K58" s="45"/>
      <c r="L58" s="70" t="str">
        <f t="shared" si="0"/>
        <v/>
      </c>
      <c r="M58" s="92" t="str">
        <f t="shared" si="3"/>
        <v/>
      </c>
      <c r="N58" s="94" t="str">
        <f t="shared" si="1"/>
        <v/>
      </c>
      <c r="O58" s="54" t="str">
        <f t="shared" si="2"/>
        <v xml:space="preserve"> </v>
      </c>
    </row>
    <row r="59" spans="1:15" x14ac:dyDescent="0.25">
      <c r="A59" s="41"/>
      <c r="B59" s="58"/>
      <c r="C59" s="42"/>
      <c r="D59" s="43"/>
      <c r="E59" s="43"/>
      <c r="F59" s="81"/>
      <c r="G59" s="82"/>
      <c r="H59" s="73"/>
      <c r="I59" s="44"/>
      <c r="J59" s="64"/>
      <c r="K59" s="45"/>
      <c r="L59" s="70" t="str">
        <f t="shared" si="0"/>
        <v/>
      </c>
      <c r="M59" s="92" t="str">
        <f t="shared" si="3"/>
        <v/>
      </c>
      <c r="N59" s="94" t="str">
        <f t="shared" si="1"/>
        <v/>
      </c>
      <c r="O59" s="54" t="str">
        <f t="shared" si="2"/>
        <v xml:space="preserve"> </v>
      </c>
    </row>
    <row r="60" spans="1:15" x14ac:dyDescent="0.25">
      <c r="A60" s="41"/>
      <c r="B60" s="58"/>
      <c r="C60" s="42"/>
      <c r="D60" s="43"/>
      <c r="E60" s="43"/>
      <c r="F60" s="81"/>
      <c r="G60" s="82"/>
      <c r="H60" s="73"/>
      <c r="I60" s="44"/>
      <c r="J60" s="64"/>
      <c r="K60" s="45"/>
      <c r="L60" s="70" t="str">
        <f t="shared" si="0"/>
        <v/>
      </c>
      <c r="M60" s="92" t="str">
        <f t="shared" si="3"/>
        <v/>
      </c>
      <c r="N60" s="94" t="str">
        <f t="shared" si="1"/>
        <v/>
      </c>
      <c r="O60" s="54" t="str">
        <f t="shared" si="2"/>
        <v xml:space="preserve"> </v>
      </c>
    </row>
    <row r="61" spans="1:15" x14ac:dyDescent="0.25">
      <c r="A61" s="41"/>
      <c r="B61" s="58"/>
      <c r="C61" s="42"/>
      <c r="D61" s="43"/>
      <c r="E61" s="43"/>
      <c r="F61" s="81"/>
      <c r="G61" s="82"/>
      <c r="H61" s="73"/>
      <c r="I61" s="44"/>
      <c r="J61" s="64"/>
      <c r="K61" s="45"/>
      <c r="L61" s="70" t="str">
        <f t="shared" si="0"/>
        <v/>
      </c>
      <c r="M61" s="92" t="str">
        <f t="shared" si="3"/>
        <v/>
      </c>
      <c r="N61" s="94" t="str">
        <f t="shared" si="1"/>
        <v/>
      </c>
      <c r="O61" s="54" t="str">
        <f t="shared" si="2"/>
        <v xml:space="preserve"> </v>
      </c>
    </row>
    <row r="62" spans="1:15" x14ac:dyDescent="0.25">
      <c r="A62" s="41"/>
      <c r="B62" s="58"/>
      <c r="C62" s="42"/>
      <c r="D62" s="43"/>
      <c r="E62" s="43"/>
      <c r="F62" s="81"/>
      <c r="G62" s="82"/>
      <c r="H62" s="73"/>
      <c r="I62" s="44"/>
      <c r="J62" s="64"/>
      <c r="K62" s="45"/>
      <c r="L62" s="70" t="str">
        <f t="shared" si="0"/>
        <v/>
      </c>
      <c r="M62" s="92" t="str">
        <f t="shared" si="3"/>
        <v/>
      </c>
      <c r="N62" s="94" t="str">
        <f t="shared" si="1"/>
        <v/>
      </c>
      <c r="O62" s="54" t="str">
        <f t="shared" si="2"/>
        <v xml:space="preserve"> </v>
      </c>
    </row>
    <row r="63" spans="1:15" x14ac:dyDescent="0.25">
      <c r="A63" s="41"/>
      <c r="B63" s="58"/>
      <c r="C63" s="42"/>
      <c r="D63" s="43"/>
      <c r="E63" s="43"/>
      <c r="F63" s="81"/>
      <c r="G63" s="82"/>
      <c r="H63" s="73"/>
      <c r="I63" s="44"/>
      <c r="J63" s="64"/>
      <c r="K63" s="45"/>
      <c r="L63" s="70" t="str">
        <f t="shared" si="0"/>
        <v/>
      </c>
      <c r="M63" s="92" t="str">
        <f t="shared" si="3"/>
        <v/>
      </c>
      <c r="N63" s="94" t="str">
        <f t="shared" si="1"/>
        <v/>
      </c>
      <c r="O63" s="54" t="str">
        <f t="shared" si="2"/>
        <v xml:space="preserve"> </v>
      </c>
    </row>
    <row r="64" spans="1:15" x14ac:dyDescent="0.25">
      <c r="A64" s="41"/>
      <c r="B64" s="58"/>
      <c r="C64" s="42"/>
      <c r="D64" s="43"/>
      <c r="E64" s="43"/>
      <c r="F64" s="81"/>
      <c r="G64" s="82"/>
      <c r="H64" s="73"/>
      <c r="I64" s="44"/>
      <c r="J64" s="64"/>
      <c r="K64" s="45"/>
      <c r="L64" s="70" t="str">
        <f t="shared" si="0"/>
        <v/>
      </c>
      <c r="M64" s="92" t="str">
        <f t="shared" si="3"/>
        <v/>
      </c>
      <c r="N64" s="94" t="str">
        <f t="shared" si="1"/>
        <v/>
      </c>
      <c r="O64" s="54" t="str">
        <f t="shared" si="2"/>
        <v xml:space="preserve"> </v>
      </c>
    </row>
    <row r="65" spans="1:15" x14ac:dyDescent="0.25">
      <c r="A65" s="41"/>
      <c r="B65" s="58"/>
      <c r="C65" s="42"/>
      <c r="D65" s="43"/>
      <c r="E65" s="43"/>
      <c r="F65" s="81"/>
      <c r="G65" s="82"/>
      <c r="H65" s="73"/>
      <c r="I65" s="44"/>
      <c r="J65" s="64"/>
      <c r="K65" s="45"/>
      <c r="L65" s="70" t="str">
        <f t="shared" si="0"/>
        <v/>
      </c>
      <c r="M65" s="92" t="str">
        <f t="shared" si="3"/>
        <v/>
      </c>
      <c r="N65" s="94" t="str">
        <f t="shared" si="1"/>
        <v/>
      </c>
      <c r="O65" s="54" t="str">
        <f t="shared" si="2"/>
        <v xml:space="preserve"> </v>
      </c>
    </row>
    <row r="66" spans="1:15" x14ac:dyDescent="0.25">
      <c r="A66" s="41"/>
      <c r="B66" s="58"/>
      <c r="C66" s="42"/>
      <c r="D66" s="43"/>
      <c r="E66" s="43"/>
      <c r="F66" s="81"/>
      <c r="G66" s="82"/>
      <c r="H66" s="73"/>
      <c r="I66" s="44"/>
      <c r="J66" s="64"/>
      <c r="K66" s="45"/>
      <c r="L66" s="70" t="str">
        <f t="shared" si="0"/>
        <v/>
      </c>
      <c r="M66" s="92" t="str">
        <f t="shared" si="3"/>
        <v/>
      </c>
      <c r="N66" s="94" t="str">
        <f t="shared" si="1"/>
        <v/>
      </c>
      <c r="O66" s="54" t="str">
        <f t="shared" si="2"/>
        <v xml:space="preserve"> </v>
      </c>
    </row>
    <row r="67" spans="1:15" x14ac:dyDescent="0.25">
      <c r="A67" s="41"/>
      <c r="B67" s="58"/>
      <c r="C67" s="42"/>
      <c r="D67" s="43"/>
      <c r="E67" s="43"/>
      <c r="F67" s="81"/>
      <c r="G67" s="82"/>
      <c r="H67" s="73"/>
      <c r="I67" s="44"/>
      <c r="J67" s="64"/>
      <c r="K67" s="45"/>
      <c r="L67" s="70" t="str">
        <f t="shared" si="0"/>
        <v/>
      </c>
      <c r="M67" s="92" t="str">
        <f t="shared" si="3"/>
        <v/>
      </c>
      <c r="N67" s="94" t="str">
        <f t="shared" si="1"/>
        <v/>
      </c>
      <c r="O67" s="54" t="str">
        <f t="shared" si="2"/>
        <v xml:space="preserve"> </v>
      </c>
    </row>
    <row r="68" spans="1:15" x14ac:dyDescent="0.25">
      <c r="A68" s="41"/>
      <c r="B68" s="58"/>
      <c r="C68" s="42"/>
      <c r="D68" s="43"/>
      <c r="E68" s="43"/>
      <c r="F68" s="81"/>
      <c r="G68" s="82"/>
      <c r="H68" s="73"/>
      <c r="I68" s="44"/>
      <c r="J68" s="64"/>
      <c r="K68" s="45"/>
      <c r="L68" s="70" t="str">
        <f t="shared" si="0"/>
        <v/>
      </c>
      <c r="M68" s="92" t="str">
        <f t="shared" si="3"/>
        <v/>
      </c>
      <c r="N68" s="94" t="str">
        <f t="shared" si="1"/>
        <v/>
      </c>
      <c r="O68" s="54" t="str">
        <f t="shared" si="2"/>
        <v xml:space="preserve"> </v>
      </c>
    </row>
    <row r="69" spans="1:15" x14ac:dyDescent="0.25">
      <c r="A69" s="41"/>
      <c r="B69" s="58"/>
      <c r="C69" s="42"/>
      <c r="D69" s="43"/>
      <c r="E69" s="43"/>
      <c r="F69" s="81"/>
      <c r="G69" s="82"/>
      <c r="H69" s="73"/>
      <c r="I69" s="44"/>
      <c r="J69" s="64"/>
      <c r="K69" s="45"/>
      <c r="L69" s="70" t="str">
        <f t="shared" si="0"/>
        <v/>
      </c>
      <c r="M69" s="92" t="str">
        <f t="shared" si="3"/>
        <v/>
      </c>
      <c r="N69" s="94" t="str">
        <f t="shared" si="1"/>
        <v/>
      </c>
      <c r="O69" s="54" t="str">
        <f t="shared" si="2"/>
        <v xml:space="preserve"> </v>
      </c>
    </row>
    <row r="70" spans="1:15" x14ac:dyDescent="0.25">
      <c r="A70" s="41"/>
      <c r="B70" s="58"/>
      <c r="C70" s="42"/>
      <c r="D70" s="43"/>
      <c r="E70" s="43"/>
      <c r="F70" s="81"/>
      <c r="G70" s="82"/>
      <c r="H70" s="73"/>
      <c r="I70" s="44"/>
      <c r="J70" s="64"/>
      <c r="K70" s="45"/>
      <c r="L70" s="70" t="str">
        <f t="shared" si="0"/>
        <v/>
      </c>
      <c r="M70" s="92" t="str">
        <f t="shared" si="3"/>
        <v/>
      </c>
      <c r="N70" s="94" t="str">
        <f t="shared" si="1"/>
        <v/>
      </c>
      <c r="O70" s="54" t="str">
        <f t="shared" si="2"/>
        <v xml:space="preserve"> </v>
      </c>
    </row>
    <row r="71" spans="1:15" x14ac:dyDescent="0.25">
      <c r="A71" s="41"/>
      <c r="B71" s="58"/>
      <c r="C71" s="42"/>
      <c r="D71" s="43"/>
      <c r="E71" s="43"/>
      <c r="F71" s="81"/>
      <c r="G71" s="82"/>
      <c r="H71" s="73"/>
      <c r="I71" s="44"/>
      <c r="J71" s="64"/>
      <c r="K71" s="45"/>
      <c r="L71" s="70" t="str">
        <f t="shared" si="0"/>
        <v/>
      </c>
      <c r="M71" s="92" t="str">
        <f t="shared" si="3"/>
        <v/>
      </c>
      <c r="N71" s="94" t="str">
        <f t="shared" si="1"/>
        <v/>
      </c>
      <c r="O71" s="54" t="str">
        <f t="shared" si="2"/>
        <v xml:space="preserve"> </v>
      </c>
    </row>
    <row r="72" spans="1:15" x14ac:dyDescent="0.25">
      <c r="A72" s="41"/>
      <c r="B72" s="58"/>
      <c r="C72" s="42"/>
      <c r="D72" s="43"/>
      <c r="E72" s="43"/>
      <c r="F72" s="81"/>
      <c r="G72" s="82"/>
      <c r="H72" s="73"/>
      <c r="I72" s="44"/>
      <c r="J72" s="64"/>
      <c r="K72" s="45"/>
      <c r="L72" s="70" t="str">
        <f t="shared" si="0"/>
        <v/>
      </c>
      <c r="M72" s="92" t="str">
        <f t="shared" si="3"/>
        <v/>
      </c>
      <c r="N72" s="94" t="str">
        <f t="shared" si="1"/>
        <v/>
      </c>
      <c r="O72" s="54" t="str">
        <f t="shared" si="2"/>
        <v xml:space="preserve"> </v>
      </c>
    </row>
    <row r="73" spans="1:15" x14ac:dyDescent="0.25">
      <c r="A73" s="41"/>
      <c r="B73" s="58"/>
      <c r="C73" s="42"/>
      <c r="D73" s="43"/>
      <c r="E73" s="43"/>
      <c r="F73" s="81"/>
      <c r="G73" s="82"/>
      <c r="H73" s="73"/>
      <c r="I73" s="44"/>
      <c r="J73" s="64"/>
      <c r="K73" s="45"/>
      <c r="L73" s="70" t="str">
        <f t="shared" ref="L73:L130" si="4">IF($L$6="mit",IF(B73*I73*$O$4=0,"",B73*I73*$O$4),IF(B73*I73*$O$4=0,"",INT(CEILING(B73*$O$4,J73))*I73))</f>
        <v/>
      </c>
      <c r="M73" s="92" t="str">
        <f t="shared" si="3"/>
        <v/>
      </c>
      <c r="N73" s="94" t="str">
        <f t="shared" ref="N73:N130" si="5">IF($L$6="mit",IF(B73*$O$4=0,"",B73*$O$4&amp;" "&amp;C73&amp;" "),IF(B73*$O$4=0,"",INT(CEILING(B73*$O$4,J73))&amp;" "&amp;C73&amp;" "))</f>
        <v/>
      </c>
      <c r="O73" s="54" t="str">
        <f t="shared" ref="O73:O130" si="6">IF($O$4="","",D73&amp;" "&amp;E73)</f>
        <v xml:space="preserve"> </v>
      </c>
    </row>
    <row r="74" spans="1:15" x14ac:dyDescent="0.25">
      <c r="A74" s="41"/>
      <c r="B74" s="58"/>
      <c r="C74" s="42"/>
      <c r="D74" s="43"/>
      <c r="E74" s="43"/>
      <c r="F74" s="81"/>
      <c r="G74" s="82"/>
      <c r="H74" s="73"/>
      <c r="I74" s="44"/>
      <c r="J74" s="64"/>
      <c r="K74" s="45"/>
      <c r="L74" s="70" t="str">
        <f t="shared" si="4"/>
        <v/>
      </c>
      <c r="M74" s="92" t="str">
        <f t="shared" si="3"/>
        <v/>
      </c>
      <c r="N74" s="94" t="str">
        <f t="shared" si="5"/>
        <v/>
      </c>
      <c r="O74" s="54" t="str">
        <f t="shared" si="6"/>
        <v xml:space="preserve"> </v>
      </c>
    </row>
    <row r="75" spans="1:15" x14ac:dyDescent="0.25">
      <c r="A75" s="41"/>
      <c r="B75" s="58"/>
      <c r="C75" s="42"/>
      <c r="D75" s="43"/>
      <c r="E75" s="43"/>
      <c r="F75" s="81"/>
      <c r="G75" s="82"/>
      <c r="H75" s="73"/>
      <c r="I75" s="44"/>
      <c r="J75" s="64"/>
      <c r="K75" s="45"/>
      <c r="L75" s="70" t="str">
        <f t="shared" si="4"/>
        <v/>
      </c>
      <c r="M75" s="92" t="str">
        <f t="shared" ref="M75:M130" si="7">IF(L75="","",G75)</f>
        <v/>
      </c>
      <c r="N75" s="94" t="str">
        <f t="shared" si="5"/>
        <v/>
      </c>
      <c r="O75" s="54" t="str">
        <f t="shared" si="6"/>
        <v xml:space="preserve"> </v>
      </c>
    </row>
    <row r="76" spans="1:15" x14ac:dyDescent="0.25">
      <c r="A76" s="41"/>
      <c r="B76" s="58"/>
      <c r="C76" s="42"/>
      <c r="D76" s="43"/>
      <c r="E76" s="43"/>
      <c r="F76" s="81"/>
      <c r="G76" s="82"/>
      <c r="H76" s="73"/>
      <c r="I76" s="44"/>
      <c r="J76" s="64"/>
      <c r="K76" s="45"/>
      <c r="L76" s="70" t="str">
        <f t="shared" si="4"/>
        <v/>
      </c>
      <c r="M76" s="92" t="str">
        <f t="shared" si="7"/>
        <v/>
      </c>
      <c r="N76" s="94" t="str">
        <f t="shared" si="5"/>
        <v/>
      </c>
      <c r="O76" s="54" t="str">
        <f t="shared" si="6"/>
        <v xml:space="preserve"> </v>
      </c>
    </row>
    <row r="77" spans="1:15" x14ac:dyDescent="0.25">
      <c r="A77" s="41"/>
      <c r="B77" s="58"/>
      <c r="C77" s="42"/>
      <c r="D77" s="43"/>
      <c r="E77" s="43"/>
      <c r="F77" s="81"/>
      <c r="G77" s="82"/>
      <c r="H77" s="73"/>
      <c r="I77" s="44"/>
      <c r="J77" s="64"/>
      <c r="K77" s="45"/>
      <c r="L77" s="70" t="str">
        <f t="shared" si="4"/>
        <v/>
      </c>
      <c r="M77" s="92" t="str">
        <f t="shared" si="7"/>
        <v/>
      </c>
      <c r="N77" s="94" t="str">
        <f t="shared" si="5"/>
        <v/>
      </c>
      <c r="O77" s="54" t="str">
        <f t="shared" si="6"/>
        <v xml:space="preserve"> </v>
      </c>
    </row>
    <row r="78" spans="1:15" x14ac:dyDescent="0.25">
      <c r="A78" s="41"/>
      <c r="B78" s="58"/>
      <c r="C78" s="42"/>
      <c r="D78" s="43"/>
      <c r="E78" s="43"/>
      <c r="F78" s="81"/>
      <c r="G78" s="82"/>
      <c r="H78" s="73"/>
      <c r="I78" s="44"/>
      <c r="J78" s="64"/>
      <c r="K78" s="45"/>
      <c r="L78" s="70" t="str">
        <f t="shared" si="4"/>
        <v/>
      </c>
      <c r="M78" s="92" t="str">
        <f t="shared" si="7"/>
        <v/>
      </c>
      <c r="N78" s="94" t="str">
        <f t="shared" si="5"/>
        <v/>
      </c>
      <c r="O78" s="54" t="str">
        <f t="shared" si="6"/>
        <v xml:space="preserve"> </v>
      </c>
    </row>
    <row r="79" spans="1:15" x14ac:dyDescent="0.25">
      <c r="A79" s="41"/>
      <c r="B79" s="58"/>
      <c r="C79" s="42"/>
      <c r="D79" s="43"/>
      <c r="E79" s="43"/>
      <c r="F79" s="81"/>
      <c r="G79" s="82"/>
      <c r="H79" s="73"/>
      <c r="I79" s="44"/>
      <c r="J79" s="64"/>
      <c r="K79" s="45"/>
      <c r="L79" s="70" t="str">
        <f t="shared" si="4"/>
        <v/>
      </c>
      <c r="M79" s="92" t="str">
        <f t="shared" si="7"/>
        <v/>
      </c>
      <c r="N79" s="94" t="str">
        <f t="shared" si="5"/>
        <v/>
      </c>
      <c r="O79" s="54" t="str">
        <f t="shared" si="6"/>
        <v xml:space="preserve"> </v>
      </c>
    </row>
    <row r="80" spans="1:15" x14ac:dyDescent="0.25">
      <c r="A80" s="41"/>
      <c r="B80" s="58"/>
      <c r="C80" s="42"/>
      <c r="D80" s="43"/>
      <c r="E80" s="43"/>
      <c r="F80" s="81"/>
      <c r="G80" s="82"/>
      <c r="H80" s="73"/>
      <c r="I80" s="44"/>
      <c r="J80" s="64"/>
      <c r="K80" s="45"/>
      <c r="L80" s="70" t="str">
        <f t="shared" si="4"/>
        <v/>
      </c>
      <c r="M80" s="92" t="str">
        <f t="shared" si="7"/>
        <v/>
      </c>
      <c r="N80" s="94" t="str">
        <f t="shared" si="5"/>
        <v/>
      </c>
      <c r="O80" s="54" t="str">
        <f t="shared" si="6"/>
        <v xml:space="preserve"> </v>
      </c>
    </row>
    <row r="81" spans="1:15" ht="15" customHeight="1" x14ac:dyDescent="0.25">
      <c r="A81" s="41"/>
      <c r="B81" s="58"/>
      <c r="C81" s="42"/>
      <c r="D81" s="43"/>
      <c r="E81" s="43"/>
      <c r="F81" s="81"/>
      <c r="G81" s="82"/>
      <c r="H81" s="73"/>
      <c r="I81" s="44"/>
      <c r="J81" s="64"/>
      <c r="K81" s="45"/>
      <c r="L81" s="70" t="str">
        <f t="shared" si="4"/>
        <v/>
      </c>
      <c r="M81" s="92" t="str">
        <f t="shared" si="7"/>
        <v/>
      </c>
      <c r="N81" s="94" t="str">
        <f t="shared" si="5"/>
        <v/>
      </c>
      <c r="O81" s="54" t="str">
        <f t="shared" si="6"/>
        <v xml:space="preserve"> </v>
      </c>
    </row>
    <row r="82" spans="1:15" x14ac:dyDescent="0.25">
      <c r="A82" s="41"/>
      <c r="B82" s="58"/>
      <c r="C82" s="42"/>
      <c r="D82" s="43"/>
      <c r="E82" s="43"/>
      <c r="F82" s="81"/>
      <c r="G82" s="82"/>
      <c r="H82" s="73"/>
      <c r="I82" s="44"/>
      <c r="J82" s="64"/>
      <c r="K82" s="45"/>
      <c r="L82" s="70" t="str">
        <f t="shared" si="4"/>
        <v/>
      </c>
      <c r="M82" s="92" t="str">
        <f t="shared" si="7"/>
        <v/>
      </c>
      <c r="N82" s="94" t="str">
        <f t="shared" si="5"/>
        <v/>
      </c>
      <c r="O82" s="54" t="str">
        <f t="shared" si="6"/>
        <v xml:space="preserve"> </v>
      </c>
    </row>
    <row r="83" spans="1:15" x14ac:dyDescent="0.25">
      <c r="A83" s="41"/>
      <c r="B83" s="58"/>
      <c r="C83" s="42"/>
      <c r="D83" s="43"/>
      <c r="E83" s="43"/>
      <c r="F83" s="81"/>
      <c r="G83" s="82"/>
      <c r="H83" s="73"/>
      <c r="I83" s="44"/>
      <c r="J83" s="64"/>
      <c r="K83" s="45"/>
      <c r="L83" s="70" t="str">
        <f t="shared" si="4"/>
        <v/>
      </c>
      <c r="M83" s="92" t="str">
        <f t="shared" si="7"/>
        <v/>
      </c>
      <c r="N83" s="94" t="str">
        <f t="shared" si="5"/>
        <v/>
      </c>
      <c r="O83" s="54" t="str">
        <f t="shared" si="6"/>
        <v xml:space="preserve"> </v>
      </c>
    </row>
    <row r="84" spans="1:15" x14ac:dyDescent="0.25">
      <c r="A84" s="41"/>
      <c r="B84" s="58"/>
      <c r="C84" s="42"/>
      <c r="D84" s="43"/>
      <c r="E84" s="43"/>
      <c r="F84" s="81"/>
      <c r="G84" s="82"/>
      <c r="H84" s="73"/>
      <c r="I84" s="44"/>
      <c r="J84" s="64"/>
      <c r="K84" s="45"/>
      <c r="L84" s="70" t="str">
        <f t="shared" si="4"/>
        <v/>
      </c>
      <c r="M84" s="92" t="str">
        <f t="shared" si="7"/>
        <v/>
      </c>
      <c r="N84" s="94" t="str">
        <f t="shared" si="5"/>
        <v/>
      </c>
      <c r="O84" s="54" t="str">
        <f t="shared" si="6"/>
        <v xml:space="preserve"> </v>
      </c>
    </row>
    <row r="85" spans="1:15" x14ac:dyDescent="0.25">
      <c r="A85" s="41"/>
      <c r="B85" s="58"/>
      <c r="C85" s="42"/>
      <c r="D85" s="43"/>
      <c r="E85" s="43"/>
      <c r="F85" s="81"/>
      <c r="G85" s="82"/>
      <c r="H85" s="73"/>
      <c r="I85" s="44"/>
      <c r="J85" s="64"/>
      <c r="K85" s="45"/>
      <c r="L85" s="70" t="str">
        <f t="shared" si="4"/>
        <v/>
      </c>
      <c r="M85" s="92" t="str">
        <f t="shared" si="7"/>
        <v/>
      </c>
      <c r="N85" s="94" t="str">
        <f t="shared" si="5"/>
        <v/>
      </c>
      <c r="O85" s="54" t="str">
        <f t="shared" si="6"/>
        <v xml:space="preserve"> </v>
      </c>
    </row>
    <row r="86" spans="1:15" x14ac:dyDescent="0.25">
      <c r="A86" s="41"/>
      <c r="B86" s="58"/>
      <c r="C86" s="42"/>
      <c r="D86" s="43"/>
      <c r="E86" s="43"/>
      <c r="F86" s="81"/>
      <c r="G86" s="82"/>
      <c r="H86" s="73"/>
      <c r="I86" s="44"/>
      <c r="J86" s="64"/>
      <c r="K86" s="45"/>
      <c r="L86" s="70" t="str">
        <f t="shared" si="4"/>
        <v/>
      </c>
      <c r="M86" s="92" t="str">
        <f t="shared" si="7"/>
        <v/>
      </c>
      <c r="N86" s="94" t="str">
        <f t="shared" si="5"/>
        <v/>
      </c>
      <c r="O86" s="54" t="str">
        <f t="shared" si="6"/>
        <v xml:space="preserve"> </v>
      </c>
    </row>
    <row r="87" spans="1:15" x14ac:dyDescent="0.25">
      <c r="A87" s="41"/>
      <c r="B87" s="58"/>
      <c r="C87" s="42"/>
      <c r="D87" s="43"/>
      <c r="E87" s="43"/>
      <c r="F87" s="81"/>
      <c r="G87" s="82"/>
      <c r="H87" s="73"/>
      <c r="I87" s="44"/>
      <c r="J87" s="64"/>
      <c r="K87" s="45"/>
      <c r="L87" s="70" t="str">
        <f t="shared" si="4"/>
        <v/>
      </c>
      <c r="M87" s="92" t="str">
        <f t="shared" si="7"/>
        <v/>
      </c>
      <c r="N87" s="94" t="str">
        <f t="shared" si="5"/>
        <v/>
      </c>
      <c r="O87" s="54" t="str">
        <f t="shared" si="6"/>
        <v xml:space="preserve"> </v>
      </c>
    </row>
    <row r="88" spans="1:15" x14ac:dyDescent="0.25">
      <c r="A88" s="41"/>
      <c r="B88" s="58"/>
      <c r="C88" s="42"/>
      <c r="D88" s="43"/>
      <c r="E88" s="43"/>
      <c r="F88" s="81"/>
      <c r="G88" s="82"/>
      <c r="H88" s="73"/>
      <c r="I88" s="44"/>
      <c r="J88" s="64"/>
      <c r="K88" s="45"/>
      <c r="L88" s="70" t="str">
        <f t="shared" si="4"/>
        <v/>
      </c>
      <c r="M88" s="92" t="str">
        <f t="shared" si="7"/>
        <v/>
      </c>
      <c r="N88" s="94" t="str">
        <f t="shared" si="5"/>
        <v/>
      </c>
      <c r="O88" s="54" t="str">
        <f t="shared" si="6"/>
        <v xml:space="preserve"> </v>
      </c>
    </row>
    <row r="89" spans="1:15" x14ac:dyDescent="0.25">
      <c r="A89" s="41"/>
      <c r="B89" s="58"/>
      <c r="C89" s="42"/>
      <c r="D89" s="43"/>
      <c r="E89" s="43"/>
      <c r="F89" s="81"/>
      <c r="G89" s="82"/>
      <c r="H89" s="73"/>
      <c r="I89" s="44"/>
      <c r="J89" s="64"/>
      <c r="K89" s="45"/>
      <c r="L89" s="70" t="str">
        <f t="shared" si="4"/>
        <v/>
      </c>
      <c r="M89" s="92" t="str">
        <f t="shared" si="7"/>
        <v/>
      </c>
      <c r="N89" s="94" t="str">
        <f t="shared" si="5"/>
        <v/>
      </c>
      <c r="O89" s="54" t="str">
        <f t="shared" si="6"/>
        <v xml:space="preserve"> </v>
      </c>
    </row>
    <row r="90" spans="1:15" x14ac:dyDescent="0.25">
      <c r="A90" s="41"/>
      <c r="B90" s="58"/>
      <c r="C90" s="42"/>
      <c r="D90" s="43"/>
      <c r="E90" s="43"/>
      <c r="F90" s="81"/>
      <c r="G90" s="82"/>
      <c r="H90" s="73"/>
      <c r="I90" s="44"/>
      <c r="J90" s="64"/>
      <c r="K90" s="45"/>
      <c r="L90" s="70" t="str">
        <f t="shared" si="4"/>
        <v/>
      </c>
      <c r="M90" s="92" t="str">
        <f t="shared" si="7"/>
        <v/>
      </c>
      <c r="N90" s="94" t="str">
        <f t="shared" si="5"/>
        <v/>
      </c>
      <c r="O90" s="54" t="str">
        <f t="shared" si="6"/>
        <v xml:space="preserve"> </v>
      </c>
    </row>
    <row r="91" spans="1:15" x14ac:dyDescent="0.25">
      <c r="A91" s="41"/>
      <c r="B91" s="58"/>
      <c r="C91" s="42"/>
      <c r="D91" s="43"/>
      <c r="E91" s="43"/>
      <c r="F91" s="81"/>
      <c r="G91" s="82"/>
      <c r="H91" s="73"/>
      <c r="I91" s="44"/>
      <c r="J91" s="64"/>
      <c r="K91" s="45"/>
      <c r="L91" s="70" t="str">
        <f t="shared" si="4"/>
        <v/>
      </c>
      <c r="M91" s="92" t="str">
        <f t="shared" si="7"/>
        <v/>
      </c>
      <c r="N91" s="94" t="str">
        <f t="shared" si="5"/>
        <v/>
      </c>
      <c r="O91" s="54" t="str">
        <f t="shared" si="6"/>
        <v xml:space="preserve"> </v>
      </c>
    </row>
    <row r="92" spans="1:15" x14ac:dyDescent="0.25">
      <c r="A92" s="41"/>
      <c r="B92" s="58"/>
      <c r="C92" s="42"/>
      <c r="D92" s="43"/>
      <c r="E92" s="43"/>
      <c r="F92" s="81"/>
      <c r="G92" s="82"/>
      <c r="H92" s="73"/>
      <c r="I92" s="44"/>
      <c r="J92" s="64"/>
      <c r="K92" s="45"/>
      <c r="L92" s="70" t="str">
        <f t="shared" si="4"/>
        <v/>
      </c>
      <c r="M92" s="92" t="str">
        <f t="shared" si="7"/>
        <v/>
      </c>
      <c r="N92" s="94" t="str">
        <f t="shared" si="5"/>
        <v/>
      </c>
      <c r="O92" s="54" t="str">
        <f t="shared" si="6"/>
        <v xml:space="preserve"> </v>
      </c>
    </row>
    <row r="93" spans="1:15" x14ac:dyDescent="0.25">
      <c r="A93" s="41"/>
      <c r="B93" s="58"/>
      <c r="C93" s="42"/>
      <c r="D93" s="43"/>
      <c r="E93" s="43"/>
      <c r="F93" s="81"/>
      <c r="G93" s="82"/>
      <c r="H93" s="73"/>
      <c r="I93" s="44"/>
      <c r="J93" s="64"/>
      <c r="K93" s="45"/>
      <c r="L93" s="70" t="str">
        <f t="shared" si="4"/>
        <v/>
      </c>
      <c r="M93" s="92" t="str">
        <f t="shared" si="7"/>
        <v/>
      </c>
      <c r="N93" s="94" t="str">
        <f t="shared" si="5"/>
        <v/>
      </c>
      <c r="O93" s="54" t="str">
        <f t="shared" si="6"/>
        <v xml:space="preserve"> </v>
      </c>
    </row>
    <row r="94" spans="1:15" x14ac:dyDescent="0.25">
      <c r="A94" s="41"/>
      <c r="B94" s="58"/>
      <c r="C94" s="42"/>
      <c r="D94" s="43"/>
      <c r="E94" s="43"/>
      <c r="F94" s="81"/>
      <c r="G94" s="82"/>
      <c r="H94" s="73"/>
      <c r="I94" s="44"/>
      <c r="J94" s="64"/>
      <c r="K94" s="45"/>
      <c r="L94" s="70" t="str">
        <f t="shared" si="4"/>
        <v/>
      </c>
      <c r="M94" s="92" t="str">
        <f t="shared" si="7"/>
        <v/>
      </c>
      <c r="N94" s="94" t="str">
        <f t="shared" si="5"/>
        <v/>
      </c>
      <c r="O94" s="54" t="str">
        <f t="shared" si="6"/>
        <v xml:space="preserve"> </v>
      </c>
    </row>
    <row r="95" spans="1:15" x14ac:dyDescent="0.25">
      <c r="A95" s="41"/>
      <c r="B95" s="58"/>
      <c r="C95" s="42"/>
      <c r="D95" s="43"/>
      <c r="E95" s="43"/>
      <c r="F95" s="81"/>
      <c r="G95" s="82"/>
      <c r="H95" s="73"/>
      <c r="I95" s="44"/>
      <c r="J95" s="64"/>
      <c r="K95" s="45"/>
      <c r="L95" s="70" t="str">
        <f t="shared" si="4"/>
        <v/>
      </c>
      <c r="M95" s="92" t="str">
        <f t="shared" si="7"/>
        <v/>
      </c>
      <c r="N95" s="94" t="str">
        <f t="shared" si="5"/>
        <v/>
      </c>
      <c r="O95" s="54" t="str">
        <f t="shared" si="6"/>
        <v xml:space="preserve"> </v>
      </c>
    </row>
    <row r="96" spans="1:15" x14ac:dyDescent="0.25">
      <c r="A96" s="41"/>
      <c r="B96" s="58"/>
      <c r="C96" s="42"/>
      <c r="D96" s="43"/>
      <c r="E96" s="43"/>
      <c r="F96" s="81"/>
      <c r="G96" s="83"/>
      <c r="H96" s="73"/>
      <c r="I96" s="44"/>
      <c r="J96" s="64"/>
      <c r="K96" s="45"/>
      <c r="L96" s="70" t="str">
        <f t="shared" si="4"/>
        <v/>
      </c>
      <c r="M96" s="92" t="str">
        <f t="shared" si="7"/>
        <v/>
      </c>
      <c r="N96" s="94" t="str">
        <f t="shared" si="5"/>
        <v/>
      </c>
      <c r="O96" s="54" t="str">
        <f t="shared" si="6"/>
        <v xml:space="preserve"> </v>
      </c>
    </row>
    <row r="97" spans="1:15" x14ac:dyDescent="0.25">
      <c r="A97" s="41"/>
      <c r="B97" s="58"/>
      <c r="C97" s="42"/>
      <c r="D97" s="43"/>
      <c r="E97" s="43"/>
      <c r="F97" s="81"/>
      <c r="G97" s="83"/>
      <c r="H97" s="73"/>
      <c r="I97" s="44"/>
      <c r="J97" s="64"/>
      <c r="K97" s="45"/>
      <c r="L97" s="70" t="str">
        <f t="shared" si="4"/>
        <v/>
      </c>
      <c r="M97" s="92" t="str">
        <f t="shared" si="7"/>
        <v/>
      </c>
      <c r="N97" s="94" t="str">
        <f t="shared" si="5"/>
        <v/>
      </c>
      <c r="O97" s="54" t="str">
        <f t="shared" si="6"/>
        <v xml:space="preserve"> </v>
      </c>
    </row>
    <row r="98" spans="1:15" x14ac:dyDescent="0.25">
      <c r="A98" s="41"/>
      <c r="B98" s="59"/>
      <c r="C98" s="42"/>
      <c r="D98" s="46"/>
      <c r="E98" s="46"/>
      <c r="F98" s="84"/>
      <c r="G98" s="83"/>
      <c r="H98" s="74"/>
      <c r="I98" s="47"/>
      <c r="J98" s="65"/>
      <c r="K98" s="45"/>
      <c r="L98" s="70" t="str">
        <f t="shared" si="4"/>
        <v/>
      </c>
      <c r="M98" s="92" t="str">
        <f t="shared" si="7"/>
        <v/>
      </c>
      <c r="N98" s="94" t="str">
        <f t="shared" si="5"/>
        <v/>
      </c>
      <c r="O98" s="54" t="str">
        <f t="shared" si="6"/>
        <v xml:space="preserve"> </v>
      </c>
    </row>
    <row r="99" spans="1:15" x14ac:dyDescent="0.25">
      <c r="A99" s="41"/>
      <c r="B99" s="60"/>
      <c r="C99" s="42"/>
      <c r="D99" s="42"/>
      <c r="E99" s="42"/>
      <c r="F99" s="85"/>
      <c r="G99" s="83"/>
      <c r="H99" s="75"/>
      <c r="I99" s="48"/>
      <c r="J99" s="66"/>
      <c r="K99" s="45"/>
      <c r="L99" s="70" t="str">
        <f t="shared" si="4"/>
        <v/>
      </c>
      <c r="M99" s="92" t="str">
        <f t="shared" si="7"/>
        <v/>
      </c>
      <c r="N99" s="94" t="str">
        <f t="shared" si="5"/>
        <v/>
      </c>
      <c r="O99" s="54" t="str">
        <f t="shared" si="6"/>
        <v xml:space="preserve"> </v>
      </c>
    </row>
    <row r="100" spans="1:15" x14ac:dyDescent="0.25">
      <c r="A100" s="41"/>
      <c r="B100" s="60"/>
      <c r="C100" s="42"/>
      <c r="D100" s="42"/>
      <c r="E100" s="42"/>
      <c r="F100" s="85"/>
      <c r="G100" s="83"/>
      <c r="H100" s="75"/>
      <c r="I100" s="48"/>
      <c r="J100" s="66"/>
      <c r="K100" s="45"/>
      <c r="L100" s="70" t="str">
        <f t="shared" si="4"/>
        <v/>
      </c>
      <c r="M100" s="92" t="str">
        <f t="shared" si="7"/>
        <v/>
      </c>
      <c r="N100" s="94" t="str">
        <f t="shared" si="5"/>
        <v/>
      </c>
      <c r="O100" s="54" t="str">
        <f t="shared" si="6"/>
        <v xml:space="preserve"> </v>
      </c>
    </row>
    <row r="101" spans="1:15" x14ac:dyDescent="0.25">
      <c r="A101" s="41"/>
      <c r="B101" s="60"/>
      <c r="C101" s="42"/>
      <c r="D101" s="42"/>
      <c r="E101" s="42"/>
      <c r="F101" s="85"/>
      <c r="G101" s="83"/>
      <c r="H101" s="75"/>
      <c r="I101" s="48"/>
      <c r="J101" s="66"/>
      <c r="K101" s="45"/>
      <c r="L101" s="70" t="str">
        <f t="shared" si="4"/>
        <v/>
      </c>
      <c r="M101" s="92" t="str">
        <f t="shared" si="7"/>
        <v/>
      </c>
      <c r="N101" s="94" t="str">
        <f t="shared" si="5"/>
        <v/>
      </c>
      <c r="O101" s="54" t="str">
        <f t="shared" si="6"/>
        <v xml:space="preserve"> </v>
      </c>
    </row>
    <row r="102" spans="1:15" x14ac:dyDescent="0.25">
      <c r="A102" s="41"/>
      <c r="B102" s="60"/>
      <c r="C102" s="42"/>
      <c r="D102" s="42"/>
      <c r="E102" s="42"/>
      <c r="F102" s="85"/>
      <c r="G102" s="83"/>
      <c r="H102" s="75"/>
      <c r="I102" s="48"/>
      <c r="J102" s="66"/>
      <c r="K102" s="45"/>
      <c r="L102" s="70" t="str">
        <f t="shared" si="4"/>
        <v/>
      </c>
      <c r="M102" s="92" t="str">
        <f t="shared" si="7"/>
        <v/>
      </c>
      <c r="N102" s="94" t="str">
        <f t="shared" si="5"/>
        <v/>
      </c>
      <c r="O102" s="54" t="str">
        <f t="shared" si="6"/>
        <v xml:space="preserve"> </v>
      </c>
    </row>
    <row r="103" spans="1:15" x14ac:dyDescent="0.25">
      <c r="A103" s="41"/>
      <c r="B103" s="60"/>
      <c r="C103" s="42"/>
      <c r="D103" s="42"/>
      <c r="E103" s="42"/>
      <c r="F103" s="85"/>
      <c r="G103" s="83"/>
      <c r="H103" s="75"/>
      <c r="I103" s="48"/>
      <c r="J103" s="66"/>
      <c r="K103" s="45"/>
      <c r="L103" s="70" t="str">
        <f t="shared" si="4"/>
        <v/>
      </c>
      <c r="M103" s="92" t="str">
        <f t="shared" si="7"/>
        <v/>
      </c>
      <c r="N103" s="94" t="str">
        <f t="shared" si="5"/>
        <v/>
      </c>
      <c r="O103" s="54" t="str">
        <f t="shared" si="6"/>
        <v xml:space="preserve"> </v>
      </c>
    </row>
    <row r="104" spans="1:15" x14ac:dyDescent="0.25">
      <c r="A104" s="41"/>
      <c r="B104" s="60"/>
      <c r="C104" s="42"/>
      <c r="D104" s="42"/>
      <c r="E104" s="42"/>
      <c r="F104" s="85"/>
      <c r="G104" s="83"/>
      <c r="H104" s="75"/>
      <c r="I104" s="48"/>
      <c r="J104" s="66"/>
      <c r="K104" s="45"/>
      <c r="L104" s="70" t="str">
        <f t="shared" si="4"/>
        <v/>
      </c>
      <c r="M104" s="92" t="str">
        <f t="shared" si="7"/>
        <v/>
      </c>
      <c r="N104" s="94" t="str">
        <f t="shared" si="5"/>
        <v/>
      </c>
      <c r="O104" s="54" t="str">
        <f t="shared" si="6"/>
        <v xml:space="preserve"> </v>
      </c>
    </row>
    <row r="105" spans="1:15" x14ac:dyDescent="0.25">
      <c r="A105" s="41"/>
      <c r="B105" s="60"/>
      <c r="C105" s="42"/>
      <c r="D105" s="42"/>
      <c r="E105" s="42"/>
      <c r="F105" s="85"/>
      <c r="G105" s="83"/>
      <c r="H105" s="75"/>
      <c r="I105" s="48"/>
      <c r="J105" s="66"/>
      <c r="K105" s="45"/>
      <c r="L105" s="70" t="str">
        <f t="shared" si="4"/>
        <v/>
      </c>
      <c r="M105" s="92" t="str">
        <f t="shared" si="7"/>
        <v/>
      </c>
      <c r="N105" s="94" t="str">
        <f t="shared" si="5"/>
        <v/>
      </c>
      <c r="O105" s="54" t="str">
        <f t="shared" si="6"/>
        <v xml:space="preserve"> </v>
      </c>
    </row>
    <row r="106" spans="1:15" x14ac:dyDescent="0.25">
      <c r="A106" s="41"/>
      <c r="B106" s="60"/>
      <c r="C106" s="42"/>
      <c r="D106" s="42"/>
      <c r="E106" s="42"/>
      <c r="F106" s="85"/>
      <c r="G106" s="83"/>
      <c r="H106" s="75"/>
      <c r="I106" s="48"/>
      <c r="J106" s="66"/>
      <c r="K106" s="45"/>
      <c r="L106" s="70" t="str">
        <f t="shared" si="4"/>
        <v/>
      </c>
      <c r="M106" s="92" t="str">
        <f t="shared" si="7"/>
        <v/>
      </c>
      <c r="N106" s="94" t="str">
        <f t="shared" si="5"/>
        <v/>
      </c>
      <c r="O106" s="54" t="str">
        <f t="shared" si="6"/>
        <v xml:space="preserve"> </v>
      </c>
    </row>
    <row r="107" spans="1:15" x14ac:dyDescent="0.25">
      <c r="A107" s="41"/>
      <c r="B107" s="60"/>
      <c r="C107" s="42"/>
      <c r="D107" s="42"/>
      <c r="E107" s="42"/>
      <c r="F107" s="85"/>
      <c r="G107" s="83"/>
      <c r="H107" s="75"/>
      <c r="I107" s="48"/>
      <c r="J107" s="66"/>
      <c r="K107" s="45"/>
      <c r="L107" s="70" t="str">
        <f t="shared" si="4"/>
        <v/>
      </c>
      <c r="M107" s="92" t="str">
        <f t="shared" si="7"/>
        <v/>
      </c>
      <c r="N107" s="94" t="str">
        <f t="shared" si="5"/>
        <v/>
      </c>
      <c r="O107" s="54" t="str">
        <f t="shared" si="6"/>
        <v xml:space="preserve"> </v>
      </c>
    </row>
    <row r="108" spans="1:15" x14ac:dyDescent="0.25">
      <c r="A108" s="41"/>
      <c r="B108" s="60"/>
      <c r="C108" s="42"/>
      <c r="D108" s="42"/>
      <c r="E108" s="42"/>
      <c r="F108" s="85"/>
      <c r="G108" s="83"/>
      <c r="H108" s="75"/>
      <c r="I108" s="48"/>
      <c r="J108" s="66"/>
      <c r="K108" s="45"/>
      <c r="L108" s="70" t="str">
        <f t="shared" si="4"/>
        <v/>
      </c>
      <c r="M108" s="92" t="str">
        <f t="shared" si="7"/>
        <v/>
      </c>
      <c r="N108" s="94" t="str">
        <f t="shared" si="5"/>
        <v/>
      </c>
      <c r="O108" s="54" t="str">
        <f t="shared" si="6"/>
        <v xml:space="preserve"> </v>
      </c>
    </row>
    <row r="109" spans="1:15" x14ac:dyDescent="0.25">
      <c r="A109" s="41"/>
      <c r="B109" s="60"/>
      <c r="C109" s="42"/>
      <c r="D109" s="42"/>
      <c r="E109" s="42"/>
      <c r="F109" s="85"/>
      <c r="G109" s="83"/>
      <c r="H109" s="75"/>
      <c r="I109" s="48"/>
      <c r="J109" s="66"/>
      <c r="K109" s="45"/>
      <c r="L109" s="70" t="str">
        <f t="shared" si="4"/>
        <v/>
      </c>
      <c r="M109" s="92" t="str">
        <f t="shared" si="7"/>
        <v/>
      </c>
      <c r="N109" s="94" t="str">
        <f t="shared" si="5"/>
        <v/>
      </c>
      <c r="O109" s="54" t="str">
        <f t="shared" si="6"/>
        <v xml:space="preserve"> </v>
      </c>
    </row>
    <row r="110" spans="1:15" x14ac:dyDescent="0.25">
      <c r="A110" s="41"/>
      <c r="B110" s="60"/>
      <c r="C110" s="42"/>
      <c r="D110" s="42"/>
      <c r="E110" s="42"/>
      <c r="F110" s="85"/>
      <c r="G110" s="83"/>
      <c r="H110" s="75"/>
      <c r="I110" s="48"/>
      <c r="J110" s="66"/>
      <c r="K110" s="45"/>
      <c r="L110" s="70" t="str">
        <f t="shared" si="4"/>
        <v/>
      </c>
      <c r="M110" s="92" t="str">
        <f t="shared" si="7"/>
        <v/>
      </c>
      <c r="N110" s="94" t="str">
        <f t="shared" si="5"/>
        <v/>
      </c>
      <c r="O110" s="54" t="str">
        <f t="shared" si="6"/>
        <v xml:space="preserve"> </v>
      </c>
    </row>
    <row r="111" spans="1:15" x14ac:dyDescent="0.25">
      <c r="A111" s="41"/>
      <c r="B111" s="60"/>
      <c r="C111" s="42"/>
      <c r="D111" s="42"/>
      <c r="E111" s="42"/>
      <c r="F111" s="85"/>
      <c r="G111" s="83"/>
      <c r="H111" s="75"/>
      <c r="I111" s="48"/>
      <c r="J111" s="66"/>
      <c r="K111" s="45"/>
      <c r="L111" s="70" t="str">
        <f t="shared" si="4"/>
        <v/>
      </c>
      <c r="M111" s="92" t="str">
        <f t="shared" si="7"/>
        <v/>
      </c>
      <c r="N111" s="94" t="str">
        <f t="shared" si="5"/>
        <v/>
      </c>
      <c r="O111" s="54" t="str">
        <f t="shared" si="6"/>
        <v xml:space="preserve"> </v>
      </c>
    </row>
    <row r="112" spans="1:15" x14ac:dyDescent="0.25">
      <c r="A112" s="41"/>
      <c r="B112" s="60"/>
      <c r="C112" s="42"/>
      <c r="D112" s="42"/>
      <c r="E112" s="42"/>
      <c r="F112" s="85"/>
      <c r="G112" s="83"/>
      <c r="H112" s="75"/>
      <c r="I112" s="48"/>
      <c r="J112" s="66"/>
      <c r="K112" s="45"/>
      <c r="L112" s="70" t="str">
        <f t="shared" si="4"/>
        <v/>
      </c>
      <c r="M112" s="92" t="str">
        <f t="shared" si="7"/>
        <v/>
      </c>
      <c r="N112" s="94" t="str">
        <f t="shared" si="5"/>
        <v/>
      </c>
      <c r="O112" s="54" t="str">
        <f t="shared" si="6"/>
        <v xml:space="preserve"> </v>
      </c>
    </row>
    <row r="113" spans="1:15" x14ac:dyDescent="0.25">
      <c r="A113" s="41"/>
      <c r="B113" s="60"/>
      <c r="C113" s="42"/>
      <c r="D113" s="42"/>
      <c r="E113" s="42"/>
      <c r="F113" s="85"/>
      <c r="G113" s="83"/>
      <c r="H113" s="75"/>
      <c r="I113" s="48"/>
      <c r="J113" s="66"/>
      <c r="K113" s="45"/>
      <c r="L113" s="70" t="str">
        <f t="shared" si="4"/>
        <v/>
      </c>
      <c r="M113" s="92" t="str">
        <f t="shared" si="7"/>
        <v/>
      </c>
      <c r="N113" s="94" t="str">
        <f t="shared" si="5"/>
        <v/>
      </c>
      <c r="O113" s="54" t="str">
        <f t="shared" si="6"/>
        <v xml:space="preserve"> </v>
      </c>
    </row>
    <row r="114" spans="1:15" x14ac:dyDescent="0.25">
      <c r="A114" s="23"/>
      <c r="B114" s="61"/>
      <c r="C114" s="19"/>
      <c r="D114" s="19"/>
      <c r="E114" s="19"/>
      <c r="F114" s="86"/>
      <c r="G114" s="87"/>
      <c r="H114" s="76"/>
      <c r="I114" s="17"/>
      <c r="J114" s="67"/>
      <c r="K114" s="21"/>
      <c r="L114" s="70" t="str">
        <f t="shared" si="4"/>
        <v/>
      </c>
      <c r="M114" s="92" t="str">
        <f t="shared" si="7"/>
        <v/>
      </c>
      <c r="N114" s="94" t="str">
        <f t="shared" si="5"/>
        <v/>
      </c>
      <c r="O114" s="54" t="str">
        <f t="shared" si="6"/>
        <v xml:space="preserve"> </v>
      </c>
    </row>
    <row r="115" spans="1:15" x14ac:dyDescent="0.25">
      <c r="A115" s="23"/>
      <c r="B115" s="61"/>
      <c r="C115" s="19"/>
      <c r="D115" s="19"/>
      <c r="E115" s="19"/>
      <c r="F115" s="86"/>
      <c r="G115" s="87"/>
      <c r="H115" s="76"/>
      <c r="I115" s="17"/>
      <c r="J115" s="67"/>
      <c r="K115" s="21"/>
      <c r="L115" s="70" t="str">
        <f t="shared" si="4"/>
        <v/>
      </c>
      <c r="M115" s="92" t="str">
        <f t="shared" si="7"/>
        <v/>
      </c>
      <c r="N115" s="94" t="str">
        <f t="shared" si="5"/>
        <v/>
      </c>
      <c r="O115" s="54" t="str">
        <f t="shared" si="6"/>
        <v xml:space="preserve"> </v>
      </c>
    </row>
    <row r="116" spans="1:15" x14ac:dyDescent="0.25">
      <c r="A116" s="23"/>
      <c r="B116" s="61"/>
      <c r="C116" s="19"/>
      <c r="D116" s="19"/>
      <c r="E116" s="19"/>
      <c r="F116" s="86"/>
      <c r="G116" s="87"/>
      <c r="H116" s="76"/>
      <c r="I116" s="17"/>
      <c r="J116" s="67"/>
      <c r="K116" s="21"/>
      <c r="L116" s="70" t="str">
        <f t="shared" si="4"/>
        <v/>
      </c>
      <c r="M116" s="92" t="str">
        <f t="shared" si="7"/>
        <v/>
      </c>
      <c r="N116" s="94" t="str">
        <f t="shared" si="5"/>
        <v/>
      </c>
      <c r="O116" s="54" t="str">
        <f t="shared" si="6"/>
        <v xml:space="preserve"> </v>
      </c>
    </row>
    <row r="117" spans="1:15" x14ac:dyDescent="0.25">
      <c r="A117" s="23"/>
      <c r="B117" s="61"/>
      <c r="C117" s="19"/>
      <c r="D117" s="19"/>
      <c r="E117" s="19"/>
      <c r="F117" s="86"/>
      <c r="G117" s="87"/>
      <c r="H117" s="76"/>
      <c r="I117" s="17"/>
      <c r="J117" s="67"/>
      <c r="K117" s="21"/>
      <c r="L117" s="70" t="str">
        <f t="shared" si="4"/>
        <v/>
      </c>
      <c r="M117" s="92" t="str">
        <f t="shared" si="7"/>
        <v/>
      </c>
      <c r="N117" s="94" t="str">
        <f t="shared" si="5"/>
        <v/>
      </c>
      <c r="O117" s="54" t="str">
        <f t="shared" si="6"/>
        <v xml:space="preserve"> </v>
      </c>
    </row>
    <row r="118" spans="1:15" x14ac:dyDescent="0.25">
      <c r="A118" s="23"/>
      <c r="B118" s="61"/>
      <c r="C118" s="19"/>
      <c r="D118" s="19"/>
      <c r="E118" s="19"/>
      <c r="F118" s="86"/>
      <c r="G118" s="87"/>
      <c r="H118" s="76"/>
      <c r="I118" s="17"/>
      <c r="J118" s="67"/>
      <c r="K118" s="21"/>
      <c r="L118" s="70" t="str">
        <f t="shared" si="4"/>
        <v/>
      </c>
      <c r="M118" s="92" t="str">
        <f t="shared" si="7"/>
        <v/>
      </c>
      <c r="N118" s="94" t="str">
        <f t="shared" si="5"/>
        <v/>
      </c>
      <c r="O118" s="54" t="str">
        <f t="shared" si="6"/>
        <v xml:space="preserve"> </v>
      </c>
    </row>
    <row r="119" spans="1:15" x14ac:dyDescent="0.25">
      <c r="A119" s="23"/>
      <c r="B119" s="61"/>
      <c r="C119" s="19"/>
      <c r="D119" s="19"/>
      <c r="E119" s="19"/>
      <c r="F119" s="86"/>
      <c r="G119" s="87"/>
      <c r="H119" s="76"/>
      <c r="I119" s="17"/>
      <c r="J119" s="67"/>
      <c r="K119" s="21"/>
      <c r="L119" s="70" t="str">
        <f t="shared" si="4"/>
        <v/>
      </c>
      <c r="M119" s="92" t="str">
        <f t="shared" si="7"/>
        <v/>
      </c>
      <c r="N119" s="94" t="str">
        <f t="shared" si="5"/>
        <v/>
      </c>
      <c r="O119" s="54" t="str">
        <f t="shared" si="6"/>
        <v xml:space="preserve"> </v>
      </c>
    </row>
    <row r="120" spans="1:15" x14ac:dyDescent="0.25">
      <c r="A120" s="23"/>
      <c r="B120" s="61"/>
      <c r="C120" s="19"/>
      <c r="D120" s="19"/>
      <c r="E120" s="19"/>
      <c r="F120" s="86"/>
      <c r="G120" s="87"/>
      <c r="H120" s="76"/>
      <c r="I120" s="17"/>
      <c r="J120" s="67"/>
      <c r="K120" s="21"/>
      <c r="L120" s="70" t="str">
        <f t="shared" si="4"/>
        <v/>
      </c>
      <c r="M120" s="92" t="str">
        <f t="shared" si="7"/>
        <v/>
      </c>
      <c r="N120" s="94" t="str">
        <f t="shared" si="5"/>
        <v/>
      </c>
      <c r="O120" s="54" t="str">
        <f t="shared" si="6"/>
        <v xml:space="preserve"> </v>
      </c>
    </row>
    <row r="121" spans="1:15" x14ac:dyDescent="0.25">
      <c r="A121" s="23"/>
      <c r="B121" s="61"/>
      <c r="C121" s="19"/>
      <c r="D121" s="19"/>
      <c r="E121" s="19"/>
      <c r="F121" s="86"/>
      <c r="G121" s="87"/>
      <c r="H121" s="76"/>
      <c r="I121" s="17"/>
      <c r="J121" s="67"/>
      <c r="K121" s="21"/>
      <c r="L121" s="70" t="str">
        <f t="shared" si="4"/>
        <v/>
      </c>
      <c r="M121" s="92" t="str">
        <f t="shared" si="7"/>
        <v/>
      </c>
      <c r="N121" s="94" t="str">
        <f t="shared" si="5"/>
        <v/>
      </c>
      <c r="O121" s="54" t="str">
        <f t="shared" si="6"/>
        <v xml:space="preserve"> </v>
      </c>
    </row>
    <row r="122" spans="1:15" x14ac:dyDescent="0.25">
      <c r="A122" s="23"/>
      <c r="B122" s="61"/>
      <c r="C122" s="19"/>
      <c r="D122" s="19"/>
      <c r="E122" s="19"/>
      <c r="F122" s="86"/>
      <c r="G122" s="87"/>
      <c r="H122" s="76"/>
      <c r="I122" s="17"/>
      <c r="J122" s="67"/>
      <c r="K122" s="21"/>
      <c r="L122" s="70" t="str">
        <f t="shared" si="4"/>
        <v/>
      </c>
      <c r="M122" s="92" t="str">
        <f t="shared" si="7"/>
        <v/>
      </c>
      <c r="N122" s="94" t="str">
        <f t="shared" si="5"/>
        <v/>
      </c>
      <c r="O122" s="54" t="str">
        <f t="shared" si="6"/>
        <v xml:space="preserve"> </v>
      </c>
    </row>
    <row r="123" spans="1:15" x14ac:dyDescent="0.25">
      <c r="A123" s="23"/>
      <c r="B123" s="61"/>
      <c r="C123" s="19"/>
      <c r="D123" s="19"/>
      <c r="E123" s="19"/>
      <c r="F123" s="86"/>
      <c r="G123" s="87"/>
      <c r="H123" s="76"/>
      <c r="I123" s="17"/>
      <c r="J123" s="67"/>
      <c r="K123" s="21"/>
      <c r="L123" s="70" t="str">
        <f t="shared" si="4"/>
        <v/>
      </c>
      <c r="M123" s="92" t="str">
        <f t="shared" si="7"/>
        <v/>
      </c>
      <c r="N123" s="94" t="str">
        <f t="shared" si="5"/>
        <v/>
      </c>
      <c r="O123" s="54" t="str">
        <f t="shared" si="6"/>
        <v xml:space="preserve"> </v>
      </c>
    </row>
    <row r="124" spans="1:15" x14ac:dyDescent="0.25">
      <c r="A124" s="23"/>
      <c r="B124" s="61"/>
      <c r="C124" s="19"/>
      <c r="D124" s="19"/>
      <c r="E124" s="19"/>
      <c r="F124" s="86"/>
      <c r="G124" s="87"/>
      <c r="H124" s="76"/>
      <c r="I124" s="17"/>
      <c r="J124" s="67"/>
      <c r="K124" s="21"/>
      <c r="L124" s="70" t="str">
        <f t="shared" si="4"/>
        <v/>
      </c>
      <c r="M124" s="92" t="str">
        <f t="shared" si="7"/>
        <v/>
      </c>
      <c r="N124" s="94" t="str">
        <f t="shared" si="5"/>
        <v/>
      </c>
      <c r="O124" s="54" t="str">
        <f t="shared" si="6"/>
        <v xml:space="preserve"> </v>
      </c>
    </row>
    <row r="125" spans="1:15" x14ac:dyDescent="0.25">
      <c r="A125" s="23"/>
      <c r="B125" s="61"/>
      <c r="C125" s="19"/>
      <c r="D125" s="19"/>
      <c r="E125" s="19"/>
      <c r="F125" s="86"/>
      <c r="G125" s="87"/>
      <c r="H125" s="76"/>
      <c r="I125" s="17"/>
      <c r="J125" s="67"/>
      <c r="K125" s="21"/>
      <c r="L125" s="70" t="str">
        <f t="shared" si="4"/>
        <v/>
      </c>
      <c r="M125" s="92" t="str">
        <f t="shared" si="7"/>
        <v/>
      </c>
      <c r="N125" s="94" t="str">
        <f t="shared" si="5"/>
        <v/>
      </c>
      <c r="O125" s="54" t="str">
        <f t="shared" si="6"/>
        <v xml:space="preserve"> </v>
      </c>
    </row>
    <row r="126" spans="1:15" x14ac:dyDescent="0.25">
      <c r="A126" s="23"/>
      <c r="B126" s="61"/>
      <c r="C126" s="19"/>
      <c r="D126" s="19"/>
      <c r="E126" s="19"/>
      <c r="F126" s="86"/>
      <c r="G126" s="87"/>
      <c r="H126" s="76"/>
      <c r="I126" s="17"/>
      <c r="J126" s="67"/>
      <c r="K126" s="21"/>
      <c r="L126" s="70" t="str">
        <f t="shared" si="4"/>
        <v/>
      </c>
      <c r="M126" s="92" t="str">
        <f t="shared" si="7"/>
        <v/>
      </c>
      <c r="N126" s="94" t="str">
        <f t="shared" si="5"/>
        <v/>
      </c>
      <c r="O126" s="54" t="str">
        <f t="shared" si="6"/>
        <v xml:space="preserve"> </v>
      </c>
    </row>
    <row r="127" spans="1:15" x14ac:dyDescent="0.25">
      <c r="A127" s="23"/>
      <c r="B127" s="61"/>
      <c r="C127" s="19"/>
      <c r="D127" s="19"/>
      <c r="E127" s="19"/>
      <c r="F127" s="86"/>
      <c r="G127" s="87"/>
      <c r="H127" s="76"/>
      <c r="I127" s="17"/>
      <c r="J127" s="67"/>
      <c r="K127" s="21"/>
      <c r="L127" s="70" t="str">
        <f t="shared" si="4"/>
        <v/>
      </c>
      <c r="M127" s="92" t="str">
        <f t="shared" si="7"/>
        <v/>
      </c>
      <c r="N127" s="94" t="str">
        <f t="shared" si="5"/>
        <v/>
      </c>
      <c r="O127" s="54" t="str">
        <f t="shared" si="6"/>
        <v xml:space="preserve"> </v>
      </c>
    </row>
    <row r="128" spans="1:15" x14ac:dyDescent="0.25">
      <c r="A128" s="23"/>
      <c r="B128" s="61"/>
      <c r="C128" s="19"/>
      <c r="D128" s="19"/>
      <c r="E128" s="19"/>
      <c r="F128" s="86"/>
      <c r="G128" s="87"/>
      <c r="H128" s="76"/>
      <c r="I128" s="17"/>
      <c r="J128" s="67"/>
      <c r="K128" s="21"/>
      <c r="L128" s="70" t="str">
        <f t="shared" si="4"/>
        <v/>
      </c>
      <c r="M128" s="92" t="str">
        <f t="shared" si="7"/>
        <v/>
      </c>
      <c r="N128" s="94" t="str">
        <f t="shared" si="5"/>
        <v/>
      </c>
      <c r="O128" s="54" t="str">
        <f t="shared" si="6"/>
        <v xml:space="preserve"> </v>
      </c>
    </row>
    <row r="129" spans="1:15" x14ac:dyDescent="0.25">
      <c r="A129" s="23"/>
      <c r="B129" s="61"/>
      <c r="C129" s="19"/>
      <c r="D129" s="19"/>
      <c r="E129" s="19"/>
      <c r="F129" s="86"/>
      <c r="G129" s="87"/>
      <c r="H129" s="76"/>
      <c r="I129" s="17"/>
      <c r="J129" s="67"/>
      <c r="K129" s="21"/>
      <c r="L129" s="70" t="str">
        <f t="shared" si="4"/>
        <v/>
      </c>
      <c r="M129" s="92" t="str">
        <f t="shared" si="7"/>
        <v/>
      </c>
      <c r="N129" s="94" t="str">
        <f t="shared" si="5"/>
        <v/>
      </c>
      <c r="O129" s="54" t="str">
        <f t="shared" si="6"/>
        <v xml:space="preserve"> </v>
      </c>
    </row>
    <row r="130" spans="1:15" ht="15.75" thickBot="1" x14ac:dyDescent="0.3">
      <c r="A130" s="24"/>
      <c r="B130" s="62"/>
      <c r="C130" s="20"/>
      <c r="D130" s="20"/>
      <c r="E130" s="20"/>
      <c r="F130" s="88"/>
      <c r="G130" s="89"/>
      <c r="H130" s="77"/>
      <c r="I130" s="18"/>
      <c r="J130" s="68"/>
      <c r="K130" s="22"/>
      <c r="L130" s="71" t="str">
        <f t="shared" si="4"/>
        <v/>
      </c>
      <c r="M130" s="95" t="str">
        <f t="shared" si="7"/>
        <v/>
      </c>
      <c r="N130" s="96" t="str">
        <f t="shared" si="5"/>
        <v/>
      </c>
      <c r="O130" s="55" t="str">
        <f t="shared" si="6"/>
        <v xml:space="preserve"> </v>
      </c>
    </row>
  </sheetData>
  <sheetProtection password="CEE9" sheet="1" objects="1" scenarios="1" selectLockedCells="1"/>
  <dataConsolidate/>
  <mergeCells count="31">
    <mergeCell ref="M4:N4"/>
    <mergeCell ref="M5:O5"/>
    <mergeCell ref="M6:O6"/>
    <mergeCell ref="M7:O7"/>
    <mergeCell ref="I1:J1"/>
    <mergeCell ref="I2:J2"/>
    <mergeCell ref="I3:J3"/>
    <mergeCell ref="M1:O1"/>
    <mergeCell ref="M2:N2"/>
    <mergeCell ref="M3:N3"/>
    <mergeCell ref="A4:D4"/>
    <mergeCell ref="A5:D5"/>
    <mergeCell ref="A6:D6"/>
    <mergeCell ref="E4:F4"/>
    <mergeCell ref="E5:F5"/>
    <mergeCell ref="E6:F6"/>
    <mergeCell ref="G4:H4"/>
    <mergeCell ref="G5:H5"/>
    <mergeCell ref="G6:H6"/>
    <mergeCell ref="I4:J4"/>
    <mergeCell ref="I5:J5"/>
    <mergeCell ref="I6:J6"/>
    <mergeCell ref="G1:H1"/>
    <mergeCell ref="G2:H2"/>
    <mergeCell ref="G3:H3"/>
    <mergeCell ref="A1:D1"/>
    <mergeCell ref="A2:D2"/>
    <mergeCell ref="A3:D3"/>
    <mergeCell ref="E1:F1"/>
    <mergeCell ref="E2:F2"/>
    <mergeCell ref="E3:F3"/>
  </mergeCells>
  <dataValidations count="2">
    <dataValidation type="list" allowBlank="1" showInputMessage="1" showErrorMessage="1" sqref="M6:O6">
      <formula1>"Berufstätige, BioMed &amp; GT.,Elektronik,Elektrotechnik,Media &amp; Design,Technische Informatik"</formula1>
    </dataValidation>
    <dataValidation type="list" allowBlank="1" showInputMessage="1" showErrorMessage="1" sqref="L6">
      <formula1>"ohne,mit"</formula1>
    </dataValidation>
  </dataValidations>
  <pageMargins left="0.78740157480314965" right="0.39370078740157483" top="0.39370078740157483" bottom="0.39370078740157483" header="0.27559055118110237" footer="0.39370078740157483"/>
  <pageSetup paperSize="8" scale="53"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75" zoomScaleNormal="57" zoomScaleSheetLayoutView="75"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25">
        <v>1</v>
      </c>
      <c r="B1" s="224"/>
      <c r="C1" s="224"/>
      <c r="D1" s="224"/>
      <c r="E1" s="224">
        <v>2</v>
      </c>
      <c r="F1" s="224"/>
      <c r="G1" s="224"/>
      <c r="H1" s="224"/>
      <c r="I1" s="224">
        <v>3</v>
      </c>
      <c r="J1" s="224"/>
      <c r="K1" s="224"/>
      <c r="L1" s="224"/>
      <c r="M1" s="224">
        <v>4</v>
      </c>
      <c r="N1" s="224"/>
      <c r="O1" s="224"/>
      <c r="P1" s="224"/>
      <c r="Q1" s="224"/>
      <c r="R1" s="224"/>
      <c r="S1" s="224"/>
      <c r="T1" s="224"/>
      <c r="U1" s="224"/>
      <c r="V1" s="224"/>
      <c r="W1" s="224"/>
      <c r="X1" s="224"/>
      <c r="Y1" s="224"/>
      <c r="Z1" s="224"/>
      <c r="AA1" s="224"/>
      <c r="AB1" s="224"/>
      <c r="AC1" s="224"/>
      <c r="AD1" s="224"/>
      <c r="AE1" s="224"/>
      <c r="AF1" s="224"/>
      <c r="AG1" s="224">
        <v>5</v>
      </c>
      <c r="AH1" s="224"/>
      <c r="AI1" s="224"/>
      <c r="AJ1" s="224"/>
      <c r="AK1" s="224"/>
      <c r="AL1" s="224"/>
      <c r="AM1" s="224"/>
      <c r="AN1" s="224"/>
      <c r="AO1" s="224"/>
      <c r="AP1" s="224"/>
      <c r="AQ1" s="224"/>
      <c r="AR1" s="224"/>
      <c r="AS1" s="224"/>
      <c r="AT1" s="224"/>
      <c r="AU1" s="224"/>
      <c r="AV1" s="224"/>
      <c r="AW1" s="224"/>
      <c r="AX1" s="224">
        <v>6</v>
      </c>
      <c r="AY1" s="224"/>
      <c r="AZ1" s="224"/>
      <c r="BA1" s="224"/>
      <c r="BB1" s="224">
        <v>7</v>
      </c>
      <c r="BC1" s="224"/>
      <c r="BD1" s="224"/>
      <c r="BE1" s="224"/>
      <c r="BF1" s="224"/>
      <c r="BG1" s="224"/>
      <c r="BH1" s="224"/>
      <c r="BI1" s="224"/>
      <c r="BJ1" s="224"/>
      <c r="BK1" s="224"/>
      <c r="BL1" s="224"/>
      <c r="BM1" s="224"/>
      <c r="BN1" s="234"/>
      <c r="BO1" s="1"/>
    </row>
    <row r="2" spans="1:256" ht="18.75" customHeight="1" x14ac:dyDescent="0.2">
      <c r="A2" s="230" t="str">
        <f>Eingabe!A7</f>
        <v>Lfd. 
Nr.</v>
      </c>
      <c r="B2" s="228"/>
      <c r="C2" s="228"/>
      <c r="D2" s="228"/>
      <c r="E2" s="228" t="str">
        <f>Eingabe!B7</f>
        <v>Stück-
zahl</v>
      </c>
      <c r="F2" s="228"/>
      <c r="G2" s="228"/>
      <c r="H2" s="228"/>
      <c r="I2" s="228" t="str">
        <f>Eingabe!C7</f>
        <v>Ein-
heit</v>
      </c>
      <c r="J2" s="228"/>
      <c r="K2" s="228"/>
      <c r="L2" s="228"/>
      <c r="M2" s="235" t="str">
        <f>Eingabe!D7</f>
        <v>Benennung</v>
      </c>
      <c r="N2" s="235"/>
      <c r="O2" s="235"/>
      <c r="P2" s="235"/>
      <c r="Q2" s="235"/>
      <c r="R2" s="235"/>
      <c r="S2" s="235"/>
      <c r="T2" s="235"/>
      <c r="U2" s="235"/>
      <c r="V2" s="235"/>
      <c r="W2" s="235"/>
      <c r="X2" s="235"/>
      <c r="Y2" s="235"/>
      <c r="Z2" s="235"/>
      <c r="AA2" s="235"/>
      <c r="AB2" s="235"/>
      <c r="AC2" s="235"/>
      <c r="AD2" s="235"/>
      <c r="AE2" s="235"/>
      <c r="AF2" s="235"/>
      <c r="AG2" s="235" t="str">
        <f>Eingabe!F7&amp;" / "&amp;Eingabe!G7</f>
        <v>Lieferant / Bestellnummer</v>
      </c>
      <c r="AH2" s="235"/>
      <c r="AI2" s="235"/>
      <c r="AJ2" s="235"/>
      <c r="AK2" s="235"/>
      <c r="AL2" s="235"/>
      <c r="AM2" s="235"/>
      <c r="AN2" s="235"/>
      <c r="AO2" s="235"/>
      <c r="AP2" s="235"/>
      <c r="AQ2" s="235"/>
      <c r="AR2" s="235"/>
      <c r="AS2" s="235"/>
      <c r="AT2" s="235"/>
      <c r="AU2" s="235"/>
      <c r="AV2" s="235"/>
      <c r="AW2" s="235"/>
      <c r="AX2" s="239" t="str">
        <f>Eingabe!H7</f>
        <v>MCd</v>
      </c>
      <c r="AY2" s="240"/>
      <c r="AZ2" s="240"/>
      <c r="BA2" s="241"/>
      <c r="BB2" s="235" t="str">
        <f>Eingabe!K7</f>
        <v>Bemerkung</v>
      </c>
      <c r="BC2" s="235"/>
      <c r="BD2" s="235"/>
      <c r="BE2" s="235"/>
      <c r="BF2" s="235"/>
      <c r="BG2" s="235"/>
      <c r="BH2" s="235"/>
      <c r="BI2" s="235"/>
      <c r="BJ2" s="235"/>
      <c r="BK2" s="235"/>
      <c r="BL2" s="235"/>
      <c r="BM2" s="235"/>
      <c r="BN2" s="236"/>
      <c r="BO2" s="1"/>
    </row>
    <row r="3" spans="1:256" ht="18.75" customHeight="1" thickBot="1" x14ac:dyDescent="0.25">
      <c r="A3" s="231"/>
      <c r="B3" s="229"/>
      <c r="C3" s="229"/>
      <c r="D3" s="229"/>
      <c r="E3" s="229"/>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c r="AS3" s="229"/>
      <c r="AT3" s="229"/>
      <c r="AU3" s="229"/>
      <c r="AV3" s="229"/>
      <c r="AW3" s="229"/>
      <c r="AX3" s="242"/>
      <c r="AY3" s="243"/>
      <c r="AZ3" s="243"/>
      <c r="BA3" s="244"/>
      <c r="BB3" s="229"/>
      <c r="BC3" s="229"/>
      <c r="BD3" s="229"/>
      <c r="BE3" s="229"/>
      <c r="BF3" s="229"/>
      <c r="BG3" s="229"/>
      <c r="BH3" s="229"/>
      <c r="BI3" s="229"/>
      <c r="BJ3" s="229"/>
      <c r="BK3" s="229"/>
      <c r="BL3" s="229"/>
      <c r="BM3" s="229"/>
      <c r="BN3" s="237"/>
      <c r="BO3" s="1"/>
    </row>
    <row r="4" spans="1:256" s="8" customFormat="1" ht="25.5" customHeight="1" x14ac:dyDescent="0.2">
      <c r="A4" s="226">
        <f>IF(Eingabe!A8="","",Eingabe!A8)</f>
        <v>1</v>
      </c>
      <c r="B4" s="227"/>
      <c r="C4" s="227"/>
      <c r="D4" s="227"/>
      <c r="E4" s="227">
        <f>IF(Eingabe!B8="","",Eingabe!B8)</f>
        <v>3</v>
      </c>
      <c r="F4" s="227"/>
      <c r="G4" s="227"/>
      <c r="H4" s="227"/>
      <c r="I4" s="223" t="str">
        <f>IF(Eingabe!C8="","",Eingabe!C8)</f>
        <v>STK</v>
      </c>
      <c r="J4" s="223"/>
      <c r="K4" s="223"/>
      <c r="L4" s="223"/>
      <c r="M4" s="245" t="str">
        <f>IF(Eingabe!D8&amp;""&amp;Eingabe!E8="","",Eingabe!D8&amp;" 
"&amp;Eingabe!E8)</f>
        <v>WID 22R 
R43, 53, 113</v>
      </c>
      <c r="N4" s="245"/>
      <c r="O4" s="245"/>
      <c r="P4" s="245"/>
      <c r="Q4" s="245"/>
      <c r="R4" s="245"/>
      <c r="S4" s="245"/>
      <c r="T4" s="245"/>
      <c r="U4" s="245"/>
      <c r="V4" s="245"/>
      <c r="W4" s="245"/>
      <c r="X4" s="245"/>
      <c r="Y4" s="245"/>
      <c r="Z4" s="245"/>
      <c r="AA4" s="245"/>
      <c r="AB4" s="245"/>
      <c r="AC4" s="245"/>
      <c r="AD4" s="245"/>
      <c r="AE4" s="245"/>
      <c r="AF4" s="245"/>
      <c r="AG4" s="223" t="str">
        <f>IF(Eingabe!F8&amp;""&amp;Eingabe!G8="","",Eingabe!F8&amp;" 
"&amp;Eingabe!G8)</f>
        <v>mercateo.at 
B1313-728489</v>
      </c>
      <c r="AH4" s="223"/>
      <c r="AI4" s="223"/>
      <c r="AJ4" s="223"/>
      <c r="AK4" s="223"/>
      <c r="AL4" s="223"/>
      <c r="AM4" s="223"/>
      <c r="AN4" s="223"/>
      <c r="AO4" s="223"/>
      <c r="AP4" s="223"/>
      <c r="AQ4" s="223"/>
      <c r="AR4" s="223"/>
      <c r="AS4" s="223"/>
      <c r="AT4" s="223"/>
      <c r="AU4" s="223"/>
      <c r="AV4" s="223"/>
      <c r="AW4" s="223"/>
      <c r="AX4" s="223" t="str">
        <f>IF(Eingabe!H8="","",Eingabe!H8)</f>
        <v>22R0</v>
      </c>
      <c r="AY4" s="223"/>
      <c r="AZ4" s="223"/>
      <c r="BA4" s="223"/>
      <c r="BB4" s="223" t="str">
        <f>IF(Eingabe!K8="","",Eingabe!K8)</f>
        <v>SMD 1206</v>
      </c>
      <c r="BC4" s="223"/>
      <c r="BD4" s="223"/>
      <c r="BE4" s="223"/>
      <c r="BF4" s="223"/>
      <c r="BG4" s="223"/>
      <c r="BH4" s="223"/>
      <c r="BI4" s="223"/>
      <c r="BJ4" s="223"/>
      <c r="BK4" s="223"/>
      <c r="BL4" s="223"/>
      <c r="BM4" s="223"/>
      <c r="BN4" s="238"/>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22">
        <f>IF(Eingabe!A9="","",Eingabe!A9)</f>
        <v>2</v>
      </c>
      <c r="B5" s="145"/>
      <c r="C5" s="145"/>
      <c r="D5" s="145"/>
      <c r="E5" s="145">
        <f>IF(Eingabe!B9="","",Eingabe!B9)</f>
        <v>4</v>
      </c>
      <c r="F5" s="145"/>
      <c r="G5" s="145"/>
      <c r="H5" s="145"/>
      <c r="I5" s="137" t="str">
        <f>IF(Eingabe!C9="","",Eingabe!C9)</f>
        <v>STK</v>
      </c>
      <c r="J5" s="137"/>
      <c r="K5" s="137"/>
      <c r="L5" s="137"/>
      <c r="M5" s="232" t="str">
        <f>IF(Eingabe!D9&amp;""&amp;Eingabe!E9="","",Eingabe!D9&amp;" 
"&amp;Eingabe!E9)</f>
        <v>WID 100R 
R119, 126, 128, 132</v>
      </c>
      <c r="N5" s="232"/>
      <c r="O5" s="232"/>
      <c r="P5" s="232"/>
      <c r="Q5" s="232"/>
      <c r="R5" s="232"/>
      <c r="S5" s="232"/>
      <c r="T5" s="232"/>
      <c r="U5" s="232"/>
      <c r="V5" s="232"/>
      <c r="W5" s="232"/>
      <c r="X5" s="232"/>
      <c r="Y5" s="232"/>
      <c r="Z5" s="232"/>
      <c r="AA5" s="232"/>
      <c r="AB5" s="232"/>
      <c r="AC5" s="232"/>
      <c r="AD5" s="232"/>
      <c r="AE5" s="232"/>
      <c r="AF5" s="232"/>
      <c r="AG5" s="137" t="str">
        <f>IF(Eingabe!F9&amp;""&amp;Eingabe!G9="","",Eingabe!F9&amp;" 
"&amp;Eingabe!G9)</f>
        <v>mercateo.at 
B1314-213-2143</v>
      </c>
      <c r="AH5" s="137"/>
      <c r="AI5" s="137"/>
      <c r="AJ5" s="137"/>
      <c r="AK5" s="137"/>
      <c r="AL5" s="137"/>
      <c r="AM5" s="137"/>
      <c r="AN5" s="137"/>
      <c r="AO5" s="137"/>
      <c r="AP5" s="137"/>
      <c r="AQ5" s="137"/>
      <c r="AR5" s="137"/>
      <c r="AS5" s="137"/>
      <c r="AT5" s="137"/>
      <c r="AU5" s="137"/>
      <c r="AV5" s="137"/>
      <c r="AW5" s="137"/>
      <c r="AX5" s="137" t="str">
        <f>IF(Eingabe!H9="","",Eingabe!H9)</f>
        <v>1000</v>
      </c>
      <c r="AY5" s="137"/>
      <c r="AZ5" s="137"/>
      <c r="BA5" s="137"/>
      <c r="BB5" s="137" t="str">
        <f>IF(Eingabe!K9="","",Eingabe!K9)</f>
        <v>SMD 0603</v>
      </c>
      <c r="BC5" s="137"/>
      <c r="BD5" s="137"/>
      <c r="BE5" s="137"/>
      <c r="BF5" s="137"/>
      <c r="BG5" s="137"/>
      <c r="BH5" s="137"/>
      <c r="BI5" s="137"/>
      <c r="BJ5" s="137"/>
      <c r="BK5" s="137"/>
      <c r="BL5" s="137"/>
      <c r="BM5" s="137"/>
      <c r="BN5" s="138"/>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22">
        <f>IF(Eingabe!A10="","",Eingabe!A10)</f>
        <v>3</v>
      </c>
      <c r="B6" s="145"/>
      <c r="C6" s="145"/>
      <c r="D6" s="145"/>
      <c r="E6" s="145">
        <f>IF(Eingabe!B10="","",Eingabe!B10)</f>
        <v>1</v>
      </c>
      <c r="F6" s="145"/>
      <c r="G6" s="145"/>
      <c r="H6" s="145"/>
      <c r="I6" s="137" t="str">
        <f>IF(Eingabe!C10="","",Eingabe!C10)</f>
        <v>STK</v>
      </c>
      <c r="J6" s="137"/>
      <c r="K6" s="137"/>
      <c r="L6" s="137"/>
      <c r="M6" s="232" t="str">
        <f>IF(Eingabe!D10&amp;""&amp;Eingabe!E10="","",Eingabe!D10&amp;" 
"&amp;Eingabe!E10)</f>
        <v>WID 110R 
R16</v>
      </c>
      <c r="N6" s="232"/>
      <c r="O6" s="232"/>
      <c r="P6" s="232"/>
      <c r="Q6" s="232"/>
      <c r="R6" s="232"/>
      <c r="S6" s="232"/>
      <c r="T6" s="232"/>
      <c r="U6" s="232"/>
      <c r="V6" s="232"/>
      <c r="W6" s="232"/>
      <c r="X6" s="232"/>
      <c r="Y6" s="232"/>
      <c r="Z6" s="232"/>
      <c r="AA6" s="232"/>
      <c r="AB6" s="232"/>
      <c r="AC6" s="232"/>
      <c r="AD6" s="232"/>
      <c r="AE6" s="232"/>
      <c r="AF6" s="232"/>
      <c r="AG6" s="137" t="str">
        <f>IF(Eingabe!F10&amp;""&amp;Eingabe!G10="","",Eingabe!F10&amp;" 
"&amp;Eingabe!G10)</f>
        <v>mercateo.at 
B1313-713271</v>
      </c>
      <c r="AH6" s="137"/>
      <c r="AI6" s="137"/>
      <c r="AJ6" s="137"/>
      <c r="AK6" s="137"/>
      <c r="AL6" s="137"/>
      <c r="AM6" s="137"/>
      <c r="AN6" s="137"/>
      <c r="AO6" s="137"/>
      <c r="AP6" s="137"/>
      <c r="AQ6" s="137"/>
      <c r="AR6" s="137"/>
      <c r="AS6" s="137"/>
      <c r="AT6" s="137"/>
      <c r="AU6" s="137"/>
      <c r="AV6" s="137"/>
      <c r="AW6" s="137"/>
      <c r="AX6" s="137" t="str">
        <f>IF(Eingabe!H10="","",Eingabe!H10)</f>
        <v>1100</v>
      </c>
      <c r="AY6" s="137"/>
      <c r="AZ6" s="137"/>
      <c r="BA6" s="137"/>
      <c r="BB6" s="137" t="str">
        <f>IF(Eingabe!K10="","",Eingabe!K10)</f>
        <v>SMD 0805</v>
      </c>
      <c r="BC6" s="137"/>
      <c r="BD6" s="137"/>
      <c r="BE6" s="137"/>
      <c r="BF6" s="137"/>
      <c r="BG6" s="137"/>
      <c r="BH6" s="137"/>
      <c r="BI6" s="137"/>
      <c r="BJ6" s="137"/>
      <c r="BK6" s="137"/>
      <c r="BL6" s="137"/>
      <c r="BM6" s="137"/>
      <c r="BN6" s="138"/>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22">
        <f>IF(Eingabe!A11="","",Eingabe!A11)</f>
        <v>4</v>
      </c>
      <c r="B7" s="145"/>
      <c r="C7" s="145"/>
      <c r="D7" s="145"/>
      <c r="E7" s="145">
        <f>IF(Eingabe!B11="","",Eingabe!B11)</f>
        <v>8</v>
      </c>
      <c r="F7" s="145"/>
      <c r="G7" s="145"/>
      <c r="H7" s="145"/>
      <c r="I7" s="137" t="str">
        <f>IF(Eingabe!C11="","",Eingabe!C11)</f>
        <v>STK</v>
      </c>
      <c r="J7" s="137"/>
      <c r="K7" s="137"/>
      <c r="L7" s="137"/>
      <c r="M7" s="232" t="str">
        <f>IF(Eingabe!D11&amp;""&amp;Eingabe!E11="","",Eingabe!D11&amp;" 
"&amp;Eingabe!E11)</f>
        <v>WID 120R 
R45-52</v>
      </c>
      <c r="N7" s="232"/>
      <c r="O7" s="232"/>
      <c r="P7" s="232"/>
      <c r="Q7" s="232"/>
      <c r="R7" s="232"/>
      <c r="S7" s="232"/>
      <c r="T7" s="232"/>
      <c r="U7" s="232"/>
      <c r="V7" s="232"/>
      <c r="W7" s="232"/>
      <c r="X7" s="232"/>
      <c r="Y7" s="232"/>
      <c r="Z7" s="232"/>
      <c r="AA7" s="232"/>
      <c r="AB7" s="232"/>
      <c r="AC7" s="232"/>
      <c r="AD7" s="232"/>
      <c r="AE7" s="232"/>
      <c r="AF7" s="232"/>
      <c r="AG7" s="137" t="str">
        <f>IF(Eingabe!F11&amp;""&amp;Eingabe!G11="","",Eingabe!F11&amp;" 
"&amp;Eingabe!G11)</f>
        <v>mercateo.at 
B1313-728507</v>
      </c>
      <c r="AH7" s="137"/>
      <c r="AI7" s="137"/>
      <c r="AJ7" s="137"/>
      <c r="AK7" s="137"/>
      <c r="AL7" s="137"/>
      <c r="AM7" s="137"/>
      <c r="AN7" s="137"/>
      <c r="AO7" s="137"/>
      <c r="AP7" s="137"/>
      <c r="AQ7" s="137"/>
      <c r="AR7" s="137"/>
      <c r="AS7" s="137"/>
      <c r="AT7" s="137"/>
      <c r="AU7" s="137"/>
      <c r="AV7" s="137"/>
      <c r="AW7" s="137"/>
      <c r="AX7" s="137" t="str">
        <f>IF(Eingabe!H11="","",Eingabe!H11)</f>
        <v>1200</v>
      </c>
      <c r="AY7" s="137"/>
      <c r="AZ7" s="137"/>
      <c r="BA7" s="137"/>
      <c r="BB7" s="137" t="str">
        <f>IF(Eingabe!K11="","",Eingabe!K11)</f>
        <v>SMD 1206</v>
      </c>
      <c r="BC7" s="137"/>
      <c r="BD7" s="137"/>
      <c r="BE7" s="137"/>
      <c r="BF7" s="137"/>
      <c r="BG7" s="137"/>
      <c r="BH7" s="137"/>
      <c r="BI7" s="137"/>
      <c r="BJ7" s="137"/>
      <c r="BK7" s="137"/>
      <c r="BL7" s="137"/>
      <c r="BM7" s="137"/>
      <c r="BN7" s="138"/>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22">
        <f>IF(Eingabe!A12="","",Eingabe!A12)</f>
        <v>5</v>
      </c>
      <c r="B8" s="145"/>
      <c r="C8" s="145"/>
      <c r="D8" s="145"/>
      <c r="E8" s="145">
        <f>IF(Eingabe!B12="","",Eingabe!B12)</f>
        <v>8</v>
      </c>
      <c r="F8" s="145"/>
      <c r="G8" s="145"/>
      <c r="H8" s="145"/>
      <c r="I8" s="137" t="str">
        <f>IF(Eingabe!C12="","",Eingabe!C12)</f>
        <v>STK</v>
      </c>
      <c r="J8" s="137"/>
      <c r="K8" s="137"/>
      <c r="L8" s="137"/>
      <c r="M8" s="232" t="str">
        <f>IF(Eingabe!D12&amp;""&amp;Eingabe!E12="","",Eingabe!D12&amp;" 
"&amp;Eingabe!E12)</f>
        <v>WID 330R 
R12, 18, 25, 28-30</v>
      </c>
      <c r="N8" s="232"/>
      <c r="O8" s="232"/>
      <c r="P8" s="232"/>
      <c r="Q8" s="232"/>
      <c r="R8" s="232"/>
      <c r="S8" s="232"/>
      <c r="T8" s="232"/>
      <c r="U8" s="232"/>
      <c r="V8" s="232"/>
      <c r="W8" s="232"/>
      <c r="X8" s="232"/>
      <c r="Y8" s="232"/>
      <c r="Z8" s="232"/>
      <c r="AA8" s="232"/>
      <c r="AB8" s="232"/>
      <c r="AC8" s="232"/>
      <c r="AD8" s="232"/>
      <c r="AE8" s="232"/>
      <c r="AF8" s="232"/>
      <c r="AG8" s="137" t="str">
        <f>IF(Eingabe!F12&amp;""&amp;Eingabe!G12="","",Eingabe!F12&amp;" 
"&amp;Eingabe!G12)</f>
        <v>mercateo.at 
B1313-713282</v>
      </c>
      <c r="AH8" s="137"/>
      <c r="AI8" s="137"/>
      <c r="AJ8" s="137"/>
      <c r="AK8" s="137"/>
      <c r="AL8" s="137"/>
      <c r="AM8" s="137"/>
      <c r="AN8" s="137"/>
      <c r="AO8" s="137"/>
      <c r="AP8" s="137"/>
      <c r="AQ8" s="137"/>
      <c r="AR8" s="137"/>
      <c r="AS8" s="137"/>
      <c r="AT8" s="137"/>
      <c r="AU8" s="137"/>
      <c r="AV8" s="137"/>
      <c r="AW8" s="137"/>
      <c r="AX8" s="137" t="str">
        <f>IF(Eingabe!H12="","",Eingabe!H12)</f>
        <v>3300</v>
      </c>
      <c r="AY8" s="137"/>
      <c r="AZ8" s="137"/>
      <c r="BA8" s="137"/>
      <c r="BB8" s="137" t="str">
        <f>IF(Eingabe!K12="","",Eingabe!K12)</f>
        <v>SMD 0805</v>
      </c>
      <c r="BC8" s="137"/>
      <c r="BD8" s="137"/>
      <c r="BE8" s="137"/>
      <c r="BF8" s="137"/>
      <c r="BG8" s="137"/>
      <c r="BH8" s="137"/>
      <c r="BI8" s="137"/>
      <c r="BJ8" s="137"/>
      <c r="BK8" s="137"/>
      <c r="BL8" s="137"/>
      <c r="BM8" s="137"/>
      <c r="BN8" s="138"/>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22" t="str">
        <f>IF(Eingabe!A13="","",Eingabe!A13)</f>
        <v/>
      </c>
      <c r="B9" s="145"/>
      <c r="C9" s="145"/>
      <c r="D9" s="145"/>
      <c r="E9" s="145" t="str">
        <f>IF(Eingabe!B13="","",Eingabe!B13)</f>
        <v/>
      </c>
      <c r="F9" s="145"/>
      <c r="G9" s="145"/>
      <c r="H9" s="145"/>
      <c r="I9" s="137" t="str">
        <f>IF(Eingabe!C13="","",Eingabe!C13)</f>
        <v>FF</v>
      </c>
      <c r="J9" s="137"/>
      <c r="K9" s="137"/>
      <c r="L9" s="137"/>
      <c r="M9" s="232" t="str">
        <f>IF(Eingabe!D13&amp;""&amp;Eingabe!E13="","",Eingabe!D13&amp;" 
"&amp;Eingabe!E13)</f>
        <v>" 
R33-34</v>
      </c>
      <c r="N9" s="232"/>
      <c r="O9" s="232"/>
      <c r="P9" s="232"/>
      <c r="Q9" s="232"/>
      <c r="R9" s="232"/>
      <c r="S9" s="232"/>
      <c r="T9" s="232"/>
      <c r="U9" s="232"/>
      <c r="V9" s="232"/>
      <c r="W9" s="232"/>
      <c r="X9" s="232"/>
      <c r="Y9" s="232"/>
      <c r="Z9" s="232"/>
      <c r="AA9" s="232"/>
      <c r="AB9" s="232"/>
      <c r="AC9" s="232"/>
      <c r="AD9" s="232"/>
      <c r="AE9" s="232"/>
      <c r="AF9" s="232"/>
      <c r="AG9" s="137" t="str">
        <f>IF(Eingabe!F13&amp;""&amp;Eingabe!G13="","",Eingabe!F13&amp;" 
"&amp;Eingabe!G13)</f>
        <v/>
      </c>
      <c r="AH9" s="137"/>
      <c r="AI9" s="137"/>
      <c r="AJ9" s="137"/>
      <c r="AK9" s="137"/>
      <c r="AL9" s="137"/>
      <c r="AM9" s="137"/>
      <c r="AN9" s="137"/>
      <c r="AO9" s="137"/>
      <c r="AP9" s="137"/>
      <c r="AQ9" s="137"/>
      <c r="AR9" s="137"/>
      <c r="AS9" s="137"/>
      <c r="AT9" s="137"/>
      <c r="AU9" s="137"/>
      <c r="AV9" s="137"/>
      <c r="AW9" s="137"/>
      <c r="AX9" s="137" t="str">
        <f>IF(Eingabe!H13="","",Eingabe!H13)</f>
        <v/>
      </c>
      <c r="AY9" s="137"/>
      <c r="AZ9" s="137"/>
      <c r="BA9" s="137"/>
      <c r="BB9" s="137" t="str">
        <f>IF(Eingabe!K13="","",Eingabe!K13)</f>
        <v/>
      </c>
      <c r="BC9" s="137"/>
      <c r="BD9" s="137"/>
      <c r="BE9" s="137"/>
      <c r="BF9" s="137"/>
      <c r="BG9" s="137"/>
      <c r="BH9" s="137"/>
      <c r="BI9" s="137"/>
      <c r="BJ9" s="137"/>
      <c r="BK9" s="137"/>
      <c r="BL9" s="137"/>
      <c r="BM9" s="137"/>
      <c r="BN9" s="138"/>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22">
        <f>IF(Eingabe!A14="","",Eingabe!A14)</f>
        <v>6</v>
      </c>
      <c r="B10" s="145"/>
      <c r="C10" s="145"/>
      <c r="D10" s="145"/>
      <c r="E10" s="145">
        <f>IF(Eingabe!B14="","",Eingabe!B14)</f>
        <v>34</v>
      </c>
      <c r="F10" s="145"/>
      <c r="G10" s="145"/>
      <c r="H10" s="145"/>
      <c r="I10" s="137" t="str">
        <f>IF(Eingabe!C14="","",Eingabe!C14)</f>
        <v>STK</v>
      </c>
      <c r="J10" s="137"/>
      <c r="K10" s="137"/>
      <c r="L10" s="137"/>
      <c r="M10" s="232" t="str">
        <f>IF(Eingabe!D14&amp;""&amp;Eingabe!E14="","",Eingabe!D14&amp;" 
"&amp;Eingabe!E14)</f>
        <v>WID 330R 
R1-11, 13, 17, 19, 22-24, 86-88,</v>
      </c>
      <c r="N10" s="232"/>
      <c r="O10" s="232"/>
      <c r="P10" s="232"/>
      <c r="Q10" s="232"/>
      <c r="R10" s="232"/>
      <c r="S10" s="232"/>
      <c r="T10" s="232"/>
      <c r="U10" s="232"/>
      <c r="V10" s="232"/>
      <c r="W10" s="232"/>
      <c r="X10" s="232"/>
      <c r="Y10" s="232"/>
      <c r="Z10" s="232"/>
      <c r="AA10" s="232"/>
      <c r="AB10" s="232"/>
      <c r="AC10" s="232"/>
      <c r="AD10" s="232"/>
      <c r="AE10" s="232"/>
      <c r="AF10" s="232"/>
      <c r="AG10" s="137" t="str">
        <f>IF(Eingabe!F14&amp;""&amp;Eingabe!G14="","",Eingabe!F14&amp;" 
"&amp;Eingabe!G14)</f>
        <v>mercateo.at 
B1313-728517</v>
      </c>
      <c r="AH10" s="137"/>
      <c r="AI10" s="137"/>
      <c r="AJ10" s="137"/>
      <c r="AK10" s="137"/>
      <c r="AL10" s="137"/>
      <c r="AM10" s="137"/>
      <c r="AN10" s="137"/>
      <c r="AO10" s="137"/>
      <c r="AP10" s="137"/>
      <c r="AQ10" s="137"/>
      <c r="AR10" s="137"/>
      <c r="AS10" s="137"/>
      <c r="AT10" s="137"/>
      <c r="AU10" s="137"/>
      <c r="AV10" s="137"/>
      <c r="AW10" s="137"/>
      <c r="AX10" s="137" t="str">
        <f>IF(Eingabe!H14="","",Eingabe!H14)</f>
        <v>3300</v>
      </c>
      <c r="AY10" s="137"/>
      <c r="AZ10" s="137"/>
      <c r="BA10" s="137"/>
      <c r="BB10" s="137" t="str">
        <f>IF(Eingabe!K14="","",Eingabe!K14)</f>
        <v>SMD 1206</v>
      </c>
      <c r="BC10" s="137"/>
      <c r="BD10" s="137"/>
      <c r="BE10" s="137"/>
      <c r="BF10" s="137"/>
      <c r="BG10" s="137"/>
      <c r="BH10" s="137"/>
      <c r="BI10" s="137"/>
      <c r="BJ10" s="137"/>
      <c r="BK10" s="137"/>
      <c r="BL10" s="137"/>
      <c r="BM10" s="137"/>
      <c r="BN10" s="138"/>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22" t="str">
        <f>IF(Eingabe!A15="","",Eingabe!A15)</f>
        <v/>
      </c>
      <c r="B11" s="145"/>
      <c r="C11" s="145"/>
      <c r="D11" s="145"/>
      <c r="E11" s="145" t="str">
        <f>IF(Eingabe!B15="","",Eingabe!B15)</f>
        <v/>
      </c>
      <c r="F11" s="145"/>
      <c r="G11" s="145"/>
      <c r="H11" s="145"/>
      <c r="I11" s="137" t="str">
        <f>IF(Eingabe!C15="","",Eingabe!C15)</f>
        <v>FF</v>
      </c>
      <c r="J11" s="137"/>
      <c r="K11" s="137"/>
      <c r="L11" s="137"/>
      <c r="M11" s="232" t="str">
        <f>IF(Eingabe!D15&amp;""&amp;Eingabe!E15="","",Eingabe!D15&amp;" 
"&amp;Eingabe!E15)</f>
        <v>" 
R91-94, 96-100, 102-103, 107,</v>
      </c>
      <c r="N11" s="232"/>
      <c r="O11" s="232"/>
      <c r="P11" s="232"/>
      <c r="Q11" s="232"/>
      <c r="R11" s="232"/>
      <c r="S11" s="232"/>
      <c r="T11" s="232"/>
      <c r="U11" s="232"/>
      <c r="V11" s="232"/>
      <c r="W11" s="232"/>
      <c r="X11" s="232"/>
      <c r="Y11" s="232"/>
      <c r="Z11" s="232"/>
      <c r="AA11" s="232"/>
      <c r="AB11" s="232"/>
      <c r="AC11" s="232"/>
      <c r="AD11" s="232"/>
      <c r="AE11" s="232"/>
      <c r="AF11" s="232"/>
      <c r="AG11" s="137" t="str">
        <f>IF(Eingabe!F15&amp;""&amp;Eingabe!G15="","",Eingabe!F15&amp;" 
"&amp;Eingabe!G15)</f>
        <v/>
      </c>
      <c r="AH11" s="137"/>
      <c r="AI11" s="137"/>
      <c r="AJ11" s="137"/>
      <c r="AK11" s="137"/>
      <c r="AL11" s="137"/>
      <c r="AM11" s="137"/>
      <c r="AN11" s="137"/>
      <c r="AO11" s="137"/>
      <c r="AP11" s="137"/>
      <c r="AQ11" s="137"/>
      <c r="AR11" s="137"/>
      <c r="AS11" s="137"/>
      <c r="AT11" s="137"/>
      <c r="AU11" s="137"/>
      <c r="AV11" s="137"/>
      <c r="AW11" s="137"/>
      <c r="AX11" s="137" t="str">
        <f>IF(Eingabe!H15="","",Eingabe!H15)</f>
        <v/>
      </c>
      <c r="AY11" s="137"/>
      <c r="AZ11" s="137"/>
      <c r="BA11" s="137"/>
      <c r="BB11" s="137" t="str">
        <f>IF(Eingabe!K15="","",Eingabe!K15)</f>
        <v/>
      </c>
      <c r="BC11" s="137"/>
      <c r="BD11" s="137"/>
      <c r="BE11" s="137"/>
      <c r="BF11" s="137"/>
      <c r="BG11" s="137"/>
      <c r="BH11" s="137"/>
      <c r="BI11" s="137"/>
      <c r="BJ11" s="137"/>
      <c r="BK11" s="137"/>
      <c r="BL11" s="137"/>
      <c r="BM11" s="137"/>
      <c r="BN11" s="138"/>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22" t="str">
        <f>IF(Eingabe!A16="","",Eingabe!A16)</f>
        <v/>
      </c>
      <c r="B12" s="145"/>
      <c r="C12" s="145"/>
      <c r="D12" s="145"/>
      <c r="E12" s="145" t="str">
        <f>IF(Eingabe!B16="","",Eingabe!B16)</f>
        <v/>
      </c>
      <c r="F12" s="145"/>
      <c r="G12" s="145"/>
      <c r="H12" s="145"/>
      <c r="I12" s="137" t="str">
        <f>IF(Eingabe!C16="","",Eingabe!C16)</f>
        <v>FF</v>
      </c>
      <c r="J12" s="137"/>
      <c r="K12" s="137"/>
      <c r="L12" s="137"/>
      <c r="M12" s="232" t="str">
        <f>IF(Eingabe!D16&amp;""&amp;Eingabe!E16="","",Eingabe!D16&amp;" 
"&amp;Eingabe!E16)</f>
        <v>" 
R109, 112</v>
      </c>
      <c r="N12" s="232"/>
      <c r="O12" s="232"/>
      <c r="P12" s="232"/>
      <c r="Q12" s="232"/>
      <c r="R12" s="232"/>
      <c r="S12" s="232"/>
      <c r="T12" s="232"/>
      <c r="U12" s="232"/>
      <c r="V12" s="232"/>
      <c r="W12" s="232"/>
      <c r="X12" s="232"/>
      <c r="Y12" s="232"/>
      <c r="Z12" s="232"/>
      <c r="AA12" s="232"/>
      <c r="AB12" s="232"/>
      <c r="AC12" s="232"/>
      <c r="AD12" s="232"/>
      <c r="AE12" s="232"/>
      <c r="AF12" s="232"/>
      <c r="AG12" s="137" t="str">
        <f>IF(Eingabe!F16&amp;""&amp;Eingabe!G16="","",Eingabe!F16&amp;" 
"&amp;Eingabe!G16)</f>
        <v/>
      </c>
      <c r="AH12" s="137"/>
      <c r="AI12" s="137"/>
      <c r="AJ12" s="137"/>
      <c r="AK12" s="137"/>
      <c r="AL12" s="137"/>
      <c r="AM12" s="137"/>
      <c r="AN12" s="137"/>
      <c r="AO12" s="137"/>
      <c r="AP12" s="137"/>
      <c r="AQ12" s="137"/>
      <c r="AR12" s="137"/>
      <c r="AS12" s="137"/>
      <c r="AT12" s="137"/>
      <c r="AU12" s="137"/>
      <c r="AV12" s="137"/>
      <c r="AW12" s="137"/>
      <c r="AX12" s="137" t="str">
        <f>IF(Eingabe!H16="","",Eingabe!H16)</f>
        <v/>
      </c>
      <c r="AY12" s="137"/>
      <c r="AZ12" s="137"/>
      <c r="BA12" s="137"/>
      <c r="BB12" s="137" t="str">
        <f>IF(Eingabe!K16="","",Eingabe!K16)</f>
        <v/>
      </c>
      <c r="BC12" s="137"/>
      <c r="BD12" s="137"/>
      <c r="BE12" s="137"/>
      <c r="BF12" s="137"/>
      <c r="BG12" s="137"/>
      <c r="BH12" s="137"/>
      <c r="BI12" s="137"/>
      <c r="BJ12" s="137"/>
      <c r="BK12" s="137"/>
      <c r="BL12" s="137"/>
      <c r="BM12" s="137"/>
      <c r="BN12" s="138"/>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22">
        <f>IF(Eingabe!A17="","",Eingabe!A17)</f>
        <v>7</v>
      </c>
      <c r="B13" s="145"/>
      <c r="C13" s="145"/>
      <c r="D13" s="145"/>
      <c r="E13" s="145">
        <f>IF(Eingabe!B17="","",Eingabe!B17)</f>
        <v>12</v>
      </c>
      <c r="F13" s="145"/>
      <c r="G13" s="145"/>
      <c r="H13" s="145"/>
      <c r="I13" s="137" t="str">
        <f>IF(Eingabe!C17="","",Eingabe!C17)</f>
        <v>STK</v>
      </c>
      <c r="J13" s="137"/>
      <c r="K13" s="137"/>
      <c r="L13" s="137"/>
      <c r="M13" s="232" t="str">
        <f>IF(Eingabe!D17&amp;""&amp;Eingabe!E17="","",Eingabe!D17&amp;" 
"&amp;Eingabe!E17)</f>
        <v>WID 1k 
R14, 20, 79-83, 85, 89, 101, 108,</v>
      </c>
      <c r="N13" s="232"/>
      <c r="O13" s="232"/>
      <c r="P13" s="232"/>
      <c r="Q13" s="232"/>
      <c r="R13" s="232"/>
      <c r="S13" s="232"/>
      <c r="T13" s="232"/>
      <c r="U13" s="232"/>
      <c r="V13" s="232"/>
      <c r="W13" s="232"/>
      <c r="X13" s="232"/>
      <c r="Y13" s="232"/>
      <c r="Z13" s="232"/>
      <c r="AA13" s="232"/>
      <c r="AB13" s="232"/>
      <c r="AC13" s="232"/>
      <c r="AD13" s="232"/>
      <c r="AE13" s="232"/>
      <c r="AF13" s="232"/>
      <c r="AG13" s="137" t="str">
        <f>IF(Eingabe!F17&amp;""&amp;Eingabe!G17="","",Eingabe!F17&amp;" 
"&amp;Eingabe!G17)</f>
        <v>mercateo.at 
B1313-728529</v>
      </c>
      <c r="AH13" s="137"/>
      <c r="AI13" s="137"/>
      <c r="AJ13" s="137"/>
      <c r="AK13" s="137"/>
      <c r="AL13" s="137"/>
      <c r="AM13" s="137"/>
      <c r="AN13" s="137"/>
      <c r="AO13" s="137"/>
      <c r="AP13" s="137"/>
      <c r="AQ13" s="137"/>
      <c r="AR13" s="137"/>
      <c r="AS13" s="137"/>
      <c r="AT13" s="137"/>
      <c r="AU13" s="137"/>
      <c r="AV13" s="137"/>
      <c r="AW13" s="137"/>
      <c r="AX13" s="137" t="str">
        <f>IF(Eingabe!H17="","",Eingabe!H17)</f>
        <v>1001</v>
      </c>
      <c r="AY13" s="137"/>
      <c r="AZ13" s="137"/>
      <c r="BA13" s="137"/>
      <c r="BB13" s="137" t="str">
        <f>IF(Eingabe!K17="","",Eingabe!K17)</f>
        <v>SMD 1206</v>
      </c>
      <c r="BC13" s="137"/>
      <c r="BD13" s="137"/>
      <c r="BE13" s="137"/>
      <c r="BF13" s="137"/>
      <c r="BG13" s="137"/>
      <c r="BH13" s="137"/>
      <c r="BI13" s="137"/>
      <c r="BJ13" s="137"/>
      <c r="BK13" s="137"/>
      <c r="BL13" s="137"/>
      <c r="BM13" s="137"/>
      <c r="BN13" s="138"/>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22" t="str">
        <f>IF(Eingabe!A18="","",Eingabe!A18)</f>
        <v/>
      </c>
      <c r="B14" s="145"/>
      <c r="C14" s="145"/>
      <c r="D14" s="145"/>
      <c r="E14" s="145" t="str">
        <f>IF(Eingabe!B18="","",Eingabe!B18)</f>
        <v/>
      </c>
      <c r="F14" s="145"/>
      <c r="G14" s="145"/>
      <c r="H14" s="145"/>
      <c r="I14" s="137" t="str">
        <f>IF(Eingabe!C18="","",Eingabe!C18)</f>
        <v>FF</v>
      </c>
      <c r="J14" s="137"/>
      <c r="K14" s="137"/>
      <c r="L14" s="137"/>
      <c r="M14" s="232" t="str">
        <f>IF(Eingabe!D18&amp;""&amp;Eingabe!E18="","",Eingabe!D18&amp;" 
"&amp;Eingabe!E18)</f>
        <v>" 
R110</v>
      </c>
      <c r="N14" s="232"/>
      <c r="O14" s="232"/>
      <c r="P14" s="232"/>
      <c r="Q14" s="232"/>
      <c r="R14" s="232"/>
      <c r="S14" s="232"/>
      <c r="T14" s="232"/>
      <c r="U14" s="232"/>
      <c r="V14" s="232"/>
      <c r="W14" s="232"/>
      <c r="X14" s="232"/>
      <c r="Y14" s="232"/>
      <c r="Z14" s="232"/>
      <c r="AA14" s="232"/>
      <c r="AB14" s="232"/>
      <c r="AC14" s="232"/>
      <c r="AD14" s="232"/>
      <c r="AE14" s="232"/>
      <c r="AF14" s="232"/>
      <c r="AG14" s="137" t="str">
        <f>IF(Eingabe!F18&amp;""&amp;Eingabe!G18="","",Eingabe!F18&amp;" 
"&amp;Eingabe!G18)</f>
        <v/>
      </c>
      <c r="AH14" s="137"/>
      <c r="AI14" s="137"/>
      <c r="AJ14" s="137"/>
      <c r="AK14" s="137"/>
      <c r="AL14" s="137"/>
      <c r="AM14" s="137"/>
      <c r="AN14" s="137"/>
      <c r="AO14" s="137"/>
      <c r="AP14" s="137"/>
      <c r="AQ14" s="137"/>
      <c r="AR14" s="137"/>
      <c r="AS14" s="137"/>
      <c r="AT14" s="137"/>
      <c r="AU14" s="137"/>
      <c r="AV14" s="137"/>
      <c r="AW14" s="137"/>
      <c r="AX14" s="137" t="str">
        <f>IF(Eingabe!H18="","",Eingabe!H18)</f>
        <v/>
      </c>
      <c r="AY14" s="137"/>
      <c r="AZ14" s="137"/>
      <c r="BA14" s="137"/>
      <c r="BB14" s="137" t="str">
        <f>IF(Eingabe!K18="","",Eingabe!K18)</f>
        <v/>
      </c>
      <c r="BC14" s="137"/>
      <c r="BD14" s="137"/>
      <c r="BE14" s="137"/>
      <c r="BF14" s="137"/>
      <c r="BG14" s="137"/>
      <c r="BH14" s="137"/>
      <c r="BI14" s="137"/>
      <c r="BJ14" s="137"/>
      <c r="BK14" s="137"/>
      <c r="BL14" s="137"/>
      <c r="BM14" s="137"/>
      <c r="BN14" s="138"/>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22">
        <f>IF(Eingabe!A19="","",Eingabe!A19)</f>
        <v>8</v>
      </c>
      <c r="B15" s="145"/>
      <c r="C15" s="145"/>
      <c r="D15" s="145"/>
      <c r="E15" s="145">
        <f>IF(Eingabe!B19="","",Eingabe!B19)</f>
        <v>1</v>
      </c>
      <c r="F15" s="145"/>
      <c r="G15" s="145"/>
      <c r="H15" s="145"/>
      <c r="I15" s="137" t="str">
        <f>IF(Eingabe!C19="","",Eingabe!C19)</f>
        <v>STK</v>
      </c>
      <c r="J15" s="137"/>
      <c r="K15" s="137"/>
      <c r="L15" s="137"/>
      <c r="M15" s="232" t="str">
        <f>IF(Eingabe!D19&amp;""&amp;Eingabe!E19="","",Eingabe!D19&amp;" 
"&amp;Eingabe!E19)</f>
        <v>WID 4k7 
R106</v>
      </c>
      <c r="N15" s="232"/>
      <c r="O15" s="232"/>
      <c r="P15" s="232"/>
      <c r="Q15" s="232"/>
      <c r="R15" s="232"/>
      <c r="S15" s="232"/>
      <c r="T15" s="232"/>
      <c r="U15" s="232"/>
      <c r="V15" s="232"/>
      <c r="W15" s="232"/>
      <c r="X15" s="232"/>
      <c r="Y15" s="232"/>
      <c r="Z15" s="232"/>
      <c r="AA15" s="232"/>
      <c r="AB15" s="232"/>
      <c r="AC15" s="232"/>
      <c r="AD15" s="232"/>
      <c r="AE15" s="232"/>
      <c r="AF15" s="232"/>
      <c r="AG15" s="137" t="str">
        <f>IF(Eingabe!F19&amp;""&amp;Eingabe!G19="","",Eingabe!F19&amp;" 
"&amp;Eingabe!G19)</f>
        <v>mercateo.at 
B1314-213-2367</v>
      </c>
      <c r="AH15" s="137"/>
      <c r="AI15" s="137"/>
      <c r="AJ15" s="137"/>
      <c r="AK15" s="137"/>
      <c r="AL15" s="137"/>
      <c r="AM15" s="137"/>
      <c r="AN15" s="137"/>
      <c r="AO15" s="137"/>
      <c r="AP15" s="137"/>
      <c r="AQ15" s="137"/>
      <c r="AR15" s="137"/>
      <c r="AS15" s="137"/>
      <c r="AT15" s="137"/>
      <c r="AU15" s="137"/>
      <c r="AV15" s="137"/>
      <c r="AW15" s="137"/>
      <c r="AX15" s="137" t="str">
        <f>IF(Eingabe!H19="","",Eingabe!H19)</f>
        <v>4701</v>
      </c>
      <c r="AY15" s="137"/>
      <c r="AZ15" s="137"/>
      <c r="BA15" s="137"/>
      <c r="BB15" s="137" t="str">
        <f>IF(Eingabe!K19="","",Eingabe!K19)</f>
        <v>SMD 0603</v>
      </c>
      <c r="BC15" s="137"/>
      <c r="BD15" s="137"/>
      <c r="BE15" s="137"/>
      <c r="BF15" s="137"/>
      <c r="BG15" s="137"/>
      <c r="BH15" s="137"/>
      <c r="BI15" s="137"/>
      <c r="BJ15" s="137"/>
      <c r="BK15" s="137"/>
      <c r="BL15" s="137"/>
      <c r="BM15" s="137"/>
      <c r="BN15" s="138"/>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22">
        <f>IF(Eingabe!A20="","",Eingabe!A20)</f>
        <v>9</v>
      </c>
      <c r="B16" s="145"/>
      <c r="C16" s="145"/>
      <c r="D16" s="145"/>
      <c r="E16" s="145">
        <f>IF(Eingabe!B20="","",Eingabe!B20)</f>
        <v>5</v>
      </c>
      <c r="F16" s="145"/>
      <c r="G16" s="145"/>
      <c r="H16" s="145"/>
      <c r="I16" s="137" t="str">
        <f>IF(Eingabe!C20="","",Eingabe!C20)</f>
        <v>STK</v>
      </c>
      <c r="J16" s="137"/>
      <c r="K16" s="137"/>
      <c r="L16" s="137"/>
      <c r="M16" s="232" t="str">
        <f>IF(Eingabe!D20&amp;""&amp;Eingabe!E20="","",Eingabe!D20&amp;" 
"&amp;Eingabe!E20)</f>
        <v>WID 10k 
R115-116, 121, 124, 130</v>
      </c>
      <c r="N16" s="232"/>
      <c r="O16" s="232"/>
      <c r="P16" s="232"/>
      <c r="Q16" s="232"/>
      <c r="R16" s="232"/>
      <c r="S16" s="232"/>
      <c r="T16" s="232"/>
      <c r="U16" s="232"/>
      <c r="V16" s="232"/>
      <c r="W16" s="232"/>
      <c r="X16" s="232"/>
      <c r="Y16" s="232"/>
      <c r="Z16" s="232"/>
      <c r="AA16" s="232"/>
      <c r="AB16" s="232"/>
      <c r="AC16" s="232"/>
      <c r="AD16" s="232"/>
      <c r="AE16" s="232"/>
      <c r="AF16" s="232"/>
      <c r="AG16" s="137" t="str">
        <f>IF(Eingabe!F20&amp;""&amp;Eingabe!G20="","",Eingabe!F20&amp;" 
"&amp;Eingabe!G20)</f>
        <v>mercateo.at 
B1314-740-8805</v>
      </c>
      <c r="AH16" s="137"/>
      <c r="AI16" s="137"/>
      <c r="AJ16" s="137"/>
      <c r="AK16" s="137"/>
      <c r="AL16" s="137"/>
      <c r="AM16" s="137"/>
      <c r="AN16" s="137"/>
      <c r="AO16" s="137"/>
      <c r="AP16" s="137"/>
      <c r="AQ16" s="137"/>
      <c r="AR16" s="137"/>
      <c r="AS16" s="137"/>
      <c r="AT16" s="137"/>
      <c r="AU16" s="137"/>
      <c r="AV16" s="137"/>
      <c r="AW16" s="137"/>
      <c r="AX16" s="137" t="str">
        <f>IF(Eingabe!H20="","",Eingabe!H20)</f>
        <v>1002</v>
      </c>
      <c r="AY16" s="137"/>
      <c r="AZ16" s="137"/>
      <c r="BA16" s="137"/>
      <c r="BB16" s="137" t="str">
        <f>IF(Eingabe!K20="","",Eingabe!K20)</f>
        <v>SMD 0603</v>
      </c>
      <c r="BC16" s="137"/>
      <c r="BD16" s="137"/>
      <c r="BE16" s="137"/>
      <c r="BF16" s="137"/>
      <c r="BG16" s="137"/>
      <c r="BH16" s="137"/>
      <c r="BI16" s="137"/>
      <c r="BJ16" s="137"/>
      <c r="BK16" s="137"/>
      <c r="BL16" s="137"/>
      <c r="BM16" s="137"/>
      <c r="BN16" s="138"/>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22">
        <f>IF(Eingabe!A21="","",Eingabe!A21)</f>
        <v>10</v>
      </c>
      <c r="B17" s="145"/>
      <c r="C17" s="145"/>
      <c r="D17" s="145"/>
      <c r="E17" s="145">
        <f>IF(Eingabe!B21="","",Eingabe!B21)</f>
        <v>2</v>
      </c>
      <c r="F17" s="145"/>
      <c r="G17" s="145"/>
      <c r="H17" s="145"/>
      <c r="I17" s="137" t="str">
        <f>IF(Eingabe!C21="","",Eingabe!C21)</f>
        <v>STK</v>
      </c>
      <c r="J17" s="137"/>
      <c r="K17" s="137"/>
      <c r="L17" s="137"/>
      <c r="M17" s="232" t="str">
        <f>IF(Eingabe!D21&amp;""&amp;Eingabe!E21="","",Eingabe!D21&amp;" 
"&amp;Eingabe!E21)</f>
        <v>WID 100k 
R26, 27</v>
      </c>
      <c r="N17" s="232"/>
      <c r="O17" s="232"/>
      <c r="P17" s="232"/>
      <c r="Q17" s="232"/>
      <c r="R17" s="232"/>
      <c r="S17" s="232"/>
      <c r="T17" s="232"/>
      <c r="U17" s="232"/>
      <c r="V17" s="232"/>
      <c r="W17" s="232"/>
      <c r="X17" s="232"/>
      <c r="Y17" s="232"/>
      <c r="Z17" s="232"/>
      <c r="AA17" s="232"/>
      <c r="AB17" s="232"/>
      <c r="AC17" s="232"/>
      <c r="AD17" s="232"/>
      <c r="AE17" s="232"/>
      <c r="AF17" s="232"/>
      <c r="AG17" s="137" t="str">
        <f>IF(Eingabe!F21&amp;""&amp;Eingabe!G21="","",Eingabe!F21&amp;" 
"&amp;Eingabe!G21)</f>
        <v>mercateo.at 
B1313-713342</v>
      </c>
      <c r="AH17" s="137"/>
      <c r="AI17" s="137"/>
      <c r="AJ17" s="137"/>
      <c r="AK17" s="137"/>
      <c r="AL17" s="137"/>
      <c r="AM17" s="137"/>
      <c r="AN17" s="137"/>
      <c r="AO17" s="137"/>
      <c r="AP17" s="137"/>
      <c r="AQ17" s="137"/>
      <c r="AR17" s="137"/>
      <c r="AS17" s="137"/>
      <c r="AT17" s="137"/>
      <c r="AU17" s="137"/>
      <c r="AV17" s="137"/>
      <c r="AW17" s="137"/>
      <c r="AX17" s="137" t="str">
        <f>IF(Eingabe!H21="","",Eingabe!H21)</f>
        <v>1003</v>
      </c>
      <c r="AY17" s="137"/>
      <c r="AZ17" s="137"/>
      <c r="BA17" s="137"/>
      <c r="BB17" s="137" t="str">
        <f>IF(Eingabe!K21="","",Eingabe!K21)</f>
        <v>SMD 0805</v>
      </c>
      <c r="BC17" s="137"/>
      <c r="BD17" s="137"/>
      <c r="BE17" s="137"/>
      <c r="BF17" s="137"/>
      <c r="BG17" s="137"/>
      <c r="BH17" s="137"/>
      <c r="BI17" s="137"/>
      <c r="BJ17" s="137"/>
      <c r="BK17" s="137"/>
      <c r="BL17" s="137"/>
      <c r="BM17" s="137"/>
      <c r="BN17" s="138"/>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22">
        <f>IF(Eingabe!A22="","",Eingabe!A22)</f>
        <v>11</v>
      </c>
      <c r="B18" s="145"/>
      <c r="C18" s="145"/>
      <c r="D18" s="145"/>
      <c r="E18" s="145">
        <f>IF(Eingabe!B22="","",Eingabe!B22)</f>
        <v>39</v>
      </c>
      <c r="F18" s="145"/>
      <c r="G18" s="145"/>
      <c r="H18" s="145"/>
      <c r="I18" s="137" t="str">
        <f>IF(Eingabe!C22="","",Eingabe!C22)</f>
        <v>STK</v>
      </c>
      <c r="J18" s="137"/>
      <c r="K18" s="137"/>
      <c r="L18" s="137"/>
      <c r="M18" s="232" t="str">
        <f>IF(Eingabe!D22&amp;""&amp;Eingabe!E22="","",Eingabe!D22&amp;" 
"&amp;Eingabe!E22)</f>
        <v>WID 100k 
R35-42, 54-78, 84, 90, 95, 104,</v>
      </c>
      <c r="N18" s="232"/>
      <c r="O18" s="232"/>
      <c r="P18" s="232"/>
      <c r="Q18" s="232"/>
      <c r="R18" s="232"/>
      <c r="S18" s="232"/>
      <c r="T18" s="232"/>
      <c r="U18" s="232"/>
      <c r="V18" s="232"/>
      <c r="W18" s="232"/>
      <c r="X18" s="232"/>
      <c r="Y18" s="232"/>
      <c r="Z18" s="232"/>
      <c r="AA18" s="232"/>
      <c r="AB18" s="232"/>
      <c r="AC18" s="232"/>
      <c r="AD18" s="232"/>
      <c r="AE18" s="232"/>
      <c r="AF18" s="232"/>
      <c r="AG18" s="137" t="str">
        <f>IF(Eingabe!F22&amp;""&amp;Eingabe!G22="","",Eingabe!F22&amp;" 
"&amp;Eingabe!G22)</f>
        <v>mercateo.at 
B1314-679-1761P</v>
      </c>
      <c r="AH18" s="137"/>
      <c r="AI18" s="137"/>
      <c r="AJ18" s="137"/>
      <c r="AK18" s="137"/>
      <c r="AL18" s="137"/>
      <c r="AM18" s="137"/>
      <c r="AN18" s="137"/>
      <c r="AO18" s="137"/>
      <c r="AP18" s="137"/>
      <c r="AQ18" s="137"/>
      <c r="AR18" s="137"/>
      <c r="AS18" s="137"/>
      <c r="AT18" s="137"/>
      <c r="AU18" s="137"/>
      <c r="AV18" s="137"/>
      <c r="AW18" s="137"/>
      <c r="AX18" s="137" t="str">
        <f>IF(Eingabe!H22="","",Eingabe!H22)</f>
        <v>1003</v>
      </c>
      <c r="AY18" s="137"/>
      <c r="AZ18" s="137"/>
      <c r="BA18" s="137"/>
      <c r="BB18" s="137" t="str">
        <f>IF(Eingabe!K22="","",Eingabe!K22)</f>
        <v>SMD 1206</v>
      </c>
      <c r="BC18" s="137"/>
      <c r="BD18" s="137"/>
      <c r="BE18" s="137"/>
      <c r="BF18" s="137"/>
      <c r="BG18" s="137"/>
      <c r="BH18" s="137"/>
      <c r="BI18" s="137"/>
      <c r="BJ18" s="137"/>
      <c r="BK18" s="137"/>
      <c r="BL18" s="137"/>
      <c r="BM18" s="137"/>
      <c r="BN18" s="138"/>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22" t="str">
        <f>IF(Eingabe!A23="","",Eingabe!A23)</f>
        <v/>
      </c>
      <c r="B19" s="145"/>
      <c r="C19" s="145"/>
      <c r="D19" s="145"/>
      <c r="E19" s="145" t="str">
        <f>IF(Eingabe!B23="","",Eingabe!B23)</f>
        <v/>
      </c>
      <c r="F19" s="145"/>
      <c r="G19" s="145"/>
      <c r="H19" s="145"/>
      <c r="I19" s="137" t="str">
        <f>IF(Eingabe!C23="","",Eingabe!C23)</f>
        <v>FF</v>
      </c>
      <c r="J19" s="137"/>
      <c r="K19" s="137"/>
      <c r="L19" s="137"/>
      <c r="M19" s="232" t="str">
        <f>IF(Eingabe!D23&amp;""&amp;Eingabe!E23="","",Eingabe!D23&amp;" 
"&amp;Eingabe!E23)</f>
        <v>" 
R105, 111</v>
      </c>
      <c r="N19" s="232"/>
      <c r="O19" s="232"/>
      <c r="P19" s="232"/>
      <c r="Q19" s="232"/>
      <c r="R19" s="232"/>
      <c r="S19" s="232"/>
      <c r="T19" s="232"/>
      <c r="U19" s="232"/>
      <c r="V19" s="232"/>
      <c r="W19" s="232"/>
      <c r="X19" s="232"/>
      <c r="Y19" s="232"/>
      <c r="Z19" s="232"/>
      <c r="AA19" s="232"/>
      <c r="AB19" s="232"/>
      <c r="AC19" s="232"/>
      <c r="AD19" s="232"/>
      <c r="AE19" s="232"/>
      <c r="AF19" s="232"/>
      <c r="AG19" s="137" t="str">
        <f>IF(Eingabe!F23&amp;""&amp;Eingabe!G23="","",Eingabe!F23&amp;" 
"&amp;Eingabe!G23)</f>
        <v/>
      </c>
      <c r="AH19" s="137"/>
      <c r="AI19" s="137"/>
      <c r="AJ19" s="137"/>
      <c r="AK19" s="137"/>
      <c r="AL19" s="137"/>
      <c r="AM19" s="137"/>
      <c r="AN19" s="137"/>
      <c r="AO19" s="137"/>
      <c r="AP19" s="137"/>
      <c r="AQ19" s="137"/>
      <c r="AR19" s="137"/>
      <c r="AS19" s="137"/>
      <c r="AT19" s="137"/>
      <c r="AU19" s="137"/>
      <c r="AV19" s="137"/>
      <c r="AW19" s="137"/>
      <c r="AX19" s="137" t="str">
        <f>IF(Eingabe!H23="","",Eingabe!H23)</f>
        <v/>
      </c>
      <c r="AY19" s="137"/>
      <c r="AZ19" s="137"/>
      <c r="BA19" s="137"/>
      <c r="BB19" s="137" t="str">
        <f>IF(Eingabe!K23="","",Eingabe!K23)</f>
        <v/>
      </c>
      <c r="BC19" s="137"/>
      <c r="BD19" s="137"/>
      <c r="BE19" s="137"/>
      <c r="BF19" s="137"/>
      <c r="BG19" s="137"/>
      <c r="BH19" s="137"/>
      <c r="BI19" s="137"/>
      <c r="BJ19" s="137"/>
      <c r="BK19" s="137"/>
      <c r="BL19" s="137"/>
      <c r="BM19" s="137"/>
      <c r="BN19" s="138"/>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22">
        <f>IF(Eingabe!A24="","",Eingabe!A24)</f>
        <v>12</v>
      </c>
      <c r="B20" s="145"/>
      <c r="C20" s="145"/>
      <c r="D20" s="145"/>
      <c r="E20" s="145">
        <f>IF(Eingabe!B24="","",Eingabe!B24)</f>
        <v>2</v>
      </c>
      <c r="F20" s="145"/>
      <c r="G20" s="145"/>
      <c r="H20" s="145"/>
      <c r="I20" s="137" t="str">
        <f>IF(Eingabe!C24="","",Eingabe!C24)</f>
        <v>STK</v>
      </c>
      <c r="J20" s="137"/>
      <c r="K20" s="137"/>
      <c r="L20" s="137"/>
      <c r="M20" s="232" t="str">
        <f>IF(Eingabe!D24&amp;""&amp;Eingabe!E24="","",Eingabe!D24&amp;" 
"&amp;Eingabe!E24)</f>
        <v>TRANS N BC846BW 
V30-33, 52-54</v>
      </c>
      <c r="N20" s="232"/>
      <c r="O20" s="232"/>
      <c r="P20" s="232"/>
      <c r="Q20" s="232"/>
      <c r="R20" s="232"/>
      <c r="S20" s="232"/>
      <c r="T20" s="232"/>
      <c r="U20" s="232"/>
      <c r="V20" s="232"/>
      <c r="W20" s="232"/>
      <c r="X20" s="232"/>
      <c r="Y20" s="232"/>
      <c r="Z20" s="232"/>
      <c r="AA20" s="232"/>
      <c r="AB20" s="232"/>
      <c r="AC20" s="232"/>
      <c r="AD20" s="232"/>
      <c r="AE20" s="232"/>
      <c r="AF20" s="232"/>
      <c r="AG20" s="137" t="str">
        <f>IF(Eingabe!F24&amp;""&amp;Eingabe!G24="","",Eingabe!F24&amp;" 
"&amp;Eingabe!G24)</f>
        <v>mercateo.at 
B1314-436-7925</v>
      </c>
      <c r="AH20" s="137"/>
      <c r="AI20" s="137"/>
      <c r="AJ20" s="137"/>
      <c r="AK20" s="137"/>
      <c r="AL20" s="137"/>
      <c r="AM20" s="137"/>
      <c r="AN20" s="137"/>
      <c r="AO20" s="137"/>
      <c r="AP20" s="137"/>
      <c r="AQ20" s="137"/>
      <c r="AR20" s="137"/>
      <c r="AS20" s="137"/>
      <c r="AT20" s="137"/>
      <c r="AU20" s="137"/>
      <c r="AV20" s="137"/>
      <c r="AW20" s="137"/>
      <c r="AX20" s="137" t="str">
        <f>IF(Eingabe!H24="","",Eingabe!H24)</f>
        <v>1B, K1R</v>
      </c>
      <c r="AY20" s="137"/>
      <c r="AZ20" s="137"/>
      <c r="BA20" s="137"/>
      <c r="BB20" s="137" t="str">
        <f>IF(Eingabe!K24="","",Eingabe!K24)</f>
        <v>SOT23, *ww. BC846B,215</v>
      </c>
      <c r="BC20" s="137"/>
      <c r="BD20" s="137"/>
      <c r="BE20" s="137"/>
      <c r="BF20" s="137"/>
      <c r="BG20" s="137"/>
      <c r="BH20" s="137"/>
      <c r="BI20" s="137"/>
      <c r="BJ20" s="137"/>
      <c r="BK20" s="137"/>
      <c r="BL20" s="137"/>
      <c r="BM20" s="137"/>
      <c r="BN20" s="138"/>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22" t="str">
        <f>IF(Eingabe!A25="","",Eingabe!A25)</f>
        <v/>
      </c>
      <c r="B21" s="145"/>
      <c r="C21" s="145"/>
      <c r="D21" s="145"/>
      <c r="E21" s="145" t="str">
        <f>IF(Eingabe!B25="","",Eingabe!B25)</f>
        <v/>
      </c>
      <c r="F21" s="145"/>
      <c r="G21" s="145"/>
      <c r="H21" s="145"/>
      <c r="I21" s="137" t="str">
        <f>IF(Eingabe!C25="","",Eingabe!C25)</f>
        <v/>
      </c>
      <c r="J21" s="137"/>
      <c r="K21" s="137"/>
      <c r="L21" s="137"/>
      <c r="M21" s="232" t="str">
        <f>IF(Eingabe!D25&amp;""&amp;Eingabe!E25="","",Eingabe!D25&amp;" 
"&amp;Eingabe!E25)</f>
        <v/>
      </c>
      <c r="N21" s="232"/>
      <c r="O21" s="232"/>
      <c r="P21" s="232"/>
      <c r="Q21" s="232"/>
      <c r="R21" s="232"/>
      <c r="S21" s="232"/>
      <c r="T21" s="232"/>
      <c r="U21" s="232"/>
      <c r="V21" s="232"/>
      <c r="W21" s="232"/>
      <c r="X21" s="232"/>
      <c r="Y21" s="232"/>
      <c r="Z21" s="232"/>
      <c r="AA21" s="232"/>
      <c r="AB21" s="232"/>
      <c r="AC21" s="232"/>
      <c r="AD21" s="232"/>
      <c r="AE21" s="232"/>
      <c r="AF21" s="232"/>
      <c r="AG21" s="137" t="str">
        <f>IF(Eingabe!F25&amp;""&amp;Eingabe!G25="","",Eingabe!F25&amp;" 
"&amp;Eingabe!G25)</f>
        <v/>
      </c>
      <c r="AH21" s="137"/>
      <c r="AI21" s="137"/>
      <c r="AJ21" s="137"/>
      <c r="AK21" s="137"/>
      <c r="AL21" s="137"/>
      <c r="AM21" s="137"/>
      <c r="AN21" s="137"/>
      <c r="AO21" s="137"/>
      <c r="AP21" s="137"/>
      <c r="AQ21" s="137"/>
      <c r="AR21" s="137"/>
      <c r="AS21" s="137"/>
      <c r="AT21" s="137"/>
      <c r="AU21" s="137"/>
      <c r="AV21" s="137"/>
      <c r="AW21" s="137"/>
      <c r="AX21" s="137" t="str">
        <f>IF(Eingabe!H25="","",Eingabe!H25)</f>
        <v/>
      </c>
      <c r="AY21" s="137"/>
      <c r="AZ21" s="137"/>
      <c r="BA21" s="137"/>
      <c r="BB21" s="137" t="str">
        <f>IF(Eingabe!K25="","",Eingabe!K25)</f>
        <v/>
      </c>
      <c r="BC21" s="137"/>
      <c r="BD21" s="137"/>
      <c r="BE21" s="137"/>
      <c r="BF21" s="137"/>
      <c r="BG21" s="137"/>
      <c r="BH21" s="137"/>
      <c r="BI21" s="137"/>
      <c r="BJ21" s="137"/>
      <c r="BK21" s="137"/>
      <c r="BL21" s="137"/>
      <c r="BM21" s="137"/>
      <c r="BN21" s="138"/>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22" t="str">
        <f>IF(Eingabe!A26="","",Eingabe!A26)</f>
        <v/>
      </c>
      <c r="B22" s="145"/>
      <c r="C22" s="145"/>
      <c r="D22" s="145"/>
      <c r="E22" s="145" t="str">
        <f>IF(Eingabe!B26="","",Eingabe!B26)</f>
        <v/>
      </c>
      <c r="F22" s="145"/>
      <c r="G22" s="145"/>
      <c r="H22" s="145"/>
      <c r="I22" s="137" t="str">
        <f>IF(Eingabe!C26="","",Eingabe!C26)</f>
        <v/>
      </c>
      <c r="J22" s="137"/>
      <c r="K22" s="137"/>
      <c r="L22" s="137"/>
      <c r="M22" s="232" t="str">
        <f>IF(Eingabe!D26&amp;""&amp;Eingabe!E26="","",Eingabe!D26&amp;" 
"&amp;Eingabe!E26)</f>
        <v/>
      </c>
      <c r="N22" s="232"/>
      <c r="O22" s="232"/>
      <c r="P22" s="232"/>
      <c r="Q22" s="232"/>
      <c r="R22" s="232"/>
      <c r="S22" s="232"/>
      <c r="T22" s="232"/>
      <c r="U22" s="232"/>
      <c r="V22" s="232"/>
      <c r="W22" s="232"/>
      <c r="X22" s="232"/>
      <c r="Y22" s="232"/>
      <c r="Z22" s="232"/>
      <c r="AA22" s="232"/>
      <c r="AB22" s="232"/>
      <c r="AC22" s="232"/>
      <c r="AD22" s="232"/>
      <c r="AE22" s="232"/>
      <c r="AF22" s="232"/>
      <c r="AG22" s="137" t="str">
        <f>IF(Eingabe!F26&amp;""&amp;Eingabe!G26="","",Eingabe!F26&amp;" 
"&amp;Eingabe!G26)</f>
        <v/>
      </c>
      <c r="AH22" s="137"/>
      <c r="AI22" s="137"/>
      <c r="AJ22" s="137"/>
      <c r="AK22" s="137"/>
      <c r="AL22" s="137"/>
      <c r="AM22" s="137"/>
      <c r="AN22" s="137"/>
      <c r="AO22" s="137"/>
      <c r="AP22" s="137"/>
      <c r="AQ22" s="137"/>
      <c r="AR22" s="137"/>
      <c r="AS22" s="137"/>
      <c r="AT22" s="137"/>
      <c r="AU22" s="137"/>
      <c r="AV22" s="137"/>
      <c r="AW22" s="137"/>
      <c r="AX22" s="137" t="str">
        <f>IF(Eingabe!H26="","",Eingabe!H26)</f>
        <v/>
      </c>
      <c r="AY22" s="137"/>
      <c r="AZ22" s="137"/>
      <c r="BA22" s="137"/>
      <c r="BB22" s="137" t="str">
        <f>IF(Eingabe!K26="","",Eingabe!K26)</f>
        <v/>
      </c>
      <c r="BC22" s="137"/>
      <c r="BD22" s="137"/>
      <c r="BE22" s="137"/>
      <c r="BF22" s="137"/>
      <c r="BG22" s="137"/>
      <c r="BH22" s="137"/>
      <c r="BI22" s="137"/>
      <c r="BJ22" s="137"/>
      <c r="BK22" s="137"/>
      <c r="BL22" s="137"/>
      <c r="BM22" s="137"/>
      <c r="BN22" s="138"/>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22" t="str">
        <f>IF(Eingabe!A27="","",Eingabe!A27)</f>
        <v/>
      </c>
      <c r="B23" s="145"/>
      <c r="C23" s="145"/>
      <c r="D23" s="145"/>
      <c r="E23" s="145" t="str">
        <f>IF(Eingabe!B27="","",Eingabe!B27)</f>
        <v/>
      </c>
      <c r="F23" s="145"/>
      <c r="G23" s="145"/>
      <c r="H23" s="145"/>
      <c r="I23" s="137" t="str">
        <f>IF(Eingabe!C27="","",Eingabe!C27)</f>
        <v/>
      </c>
      <c r="J23" s="137"/>
      <c r="K23" s="137"/>
      <c r="L23" s="137"/>
      <c r="M23" s="232" t="str">
        <f>IF(Eingabe!D27&amp;""&amp;Eingabe!E27="","",Eingabe!D27&amp;" 
"&amp;Eingabe!E27)</f>
        <v/>
      </c>
      <c r="N23" s="232"/>
      <c r="O23" s="232"/>
      <c r="P23" s="232"/>
      <c r="Q23" s="232"/>
      <c r="R23" s="232"/>
      <c r="S23" s="232"/>
      <c r="T23" s="232"/>
      <c r="U23" s="232"/>
      <c r="V23" s="232"/>
      <c r="W23" s="232"/>
      <c r="X23" s="232"/>
      <c r="Y23" s="232"/>
      <c r="Z23" s="232"/>
      <c r="AA23" s="232"/>
      <c r="AB23" s="232"/>
      <c r="AC23" s="232"/>
      <c r="AD23" s="232"/>
      <c r="AE23" s="232"/>
      <c r="AF23" s="232"/>
      <c r="AG23" s="137" t="str">
        <f>IF(Eingabe!F27&amp;""&amp;Eingabe!G27="","",Eingabe!F27&amp;" 
"&amp;Eingabe!G27)</f>
        <v/>
      </c>
      <c r="AH23" s="137"/>
      <c r="AI23" s="137"/>
      <c r="AJ23" s="137"/>
      <c r="AK23" s="137"/>
      <c r="AL23" s="137"/>
      <c r="AM23" s="137"/>
      <c r="AN23" s="137"/>
      <c r="AO23" s="137"/>
      <c r="AP23" s="137"/>
      <c r="AQ23" s="137"/>
      <c r="AR23" s="137"/>
      <c r="AS23" s="137"/>
      <c r="AT23" s="137"/>
      <c r="AU23" s="137"/>
      <c r="AV23" s="137"/>
      <c r="AW23" s="137"/>
      <c r="AX23" s="137" t="str">
        <f>IF(Eingabe!H27="","",Eingabe!H27)</f>
        <v/>
      </c>
      <c r="AY23" s="137"/>
      <c r="AZ23" s="137"/>
      <c r="BA23" s="137"/>
      <c r="BB23" s="137" t="str">
        <f>IF(Eingabe!K27="","",Eingabe!K27)</f>
        <v/>
      </c>
      <c r="BC23" s="137"/>
      <c r="BD23" s="137"/>
      <c r="BE23" s="137"/>
      <c r="BF23" s="137"/>
      <c r="BG23" s="137"/>
      <c r="BH23" s="137"/>
      <c r="BI23" s="137"/>
      <c r="BJ23" s="137"/>
      <c r="BK23" s="137"/>
      <c r="BL23" s="137"/>
      <c r="BM23" s="137"/>
      <c r="BN23" s="138"/>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22" t="str">
        <f>IF(Eingabe!A28="","",Eingabe!A28)</f>
        <v/>
      </c>
      <c r="B24" s="145"/>
      <c r="C24" s="145"/>
      <c r="D24" s="145"/>
      <c r="E24" s="145" t="str">
        <f>IF(Eingabe!B28="","",Eingabe!B28)</f>
        <v/>
      </c>
      <c r="F24" s="145"/>
      <c r="G24" s="145"/>
      <c r="H24" s="145"/>
      <c r="I24" s="137" t="str">
        <f>IF(Eingabe!C28="","",Eingabe!C28)</f>
        <v/>
      </c>
      <c r="J24" s="137"/>
      <c r="K24" s="137"/>
      <c r="L24" s="137"/>
      <c r="M24" s="232" t="str">
        <f>IF(Eingabe!D28&amp;""&amp;Eingabe!E28="","",Eingabe!D28&amp;" 
"&amp;Eingabe!E28)</f>
        <v/>
      </c>
      <c r="N24" s="232"/>
      <c r="O24" s="232"/>
      <c r="P24" s="232"/>
      <c r="Q24" s="232"/>
      <c r="R24" s="232"/>
      <c r="S24" s="232"/>
      <c r="T24" s="232"/>
      <c r="U24" s="232"/>
      <c r="V24" s="232"/>
      <c r="W24" s="232"/>
      <c r="X24" s="232"/>
      <c r="Y24" s="232"/>
      <c r="Z24" s="232"/>
      <c r="AA24" s="232"/>
      <c r="AB24" s="232"/>
      <c r="AC24" s="232"/>
      <c r="AD24" s="232"/>
      <c r="AE24" s="232"/>
      <c r="AF24" s="232"/>
      <c r="AG24" s="137" t="str">
        <f>IF(Eingabe!F28&amp;""&amp;Eingabe!G28="","",Eingabe!F28&amp;" 
"&amp;Eingabe!G28)</f>
        <v/>
      </c>
      <c r="AH24" s="137"/>
      <c r="AI24" s="137"/>
      <c r="AJ24" s="137"/>
      <c r="AK24" s="137"/>
      <c r="AL24" s="137"/>
      <c r="AM24" s="137"/>
      <c r="AN24" s="137"/>
      <c r="AO24" s="137"/>
      <c r="AP24" s="137"/>
      <c r="AQ24" s="137"/>
      <c r="AR24" s="137"/>
      <c r="AS24" s="137"/>
      <c r="AT24" s="137"/>
      <c r="AU24" s="137"/>
      <c r="AV24" s="137"/>
      <c r="AW24" s="137"/>
      <c r="AX24" s="137" t="str">
        <f>IF(Eingabe!H28="","",Eingabe!H28)</f>
        <v/>
      </c>
      <c r="AY24" s="137"/>
      <c r="AZ24" s="137"/>
      <c r="BA24" s="137"/>
      <c r="BB24" s="137" t="str">
        <f>IF(Eingabe!K28="","",Eingabe!K28)</f>
        <v/>
      </c>
      <c r="BC24" s="137"/>
      <c r="BD24" s="137"/>
      <c r="BE24" s="137"/>
      <c r="BF24" s="137"/>
      <c r="BG24" s="137"/>
      <c r="BH24" s="137"/>
      <c r="BI24" s="137"/>
      <c r="BJ24" s="137"/>
      <c r="BK24" s="137"/>
      <c r="BL24" s="137"/>
      <c r="BM24" s="137"/>
      <c r="BN24" s="138"/>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22" t="str">
        <f>IF(Eingabe!A29="","",Eingabe!A29)</f>
        <v/>
      </c>
      <c r="B25" s="145"/>
      <c r="C25" s="145"/>
      <c r="D25" s="145"/>
      <c r="E25" s="145" t="str">
        <f>IF(Eingabe!B29="","",Eingabe!B29)</f>
        <v/>
      </c>
      <c r="F25" s="145"/>
      <c r="G25" s="145"/>
      <c r="H25" s="145"/>
      <c r="I25" s="137" t="str">
        <f>IF(Eingabe!C29="","",Eingabe!C29)</f>
        <v/>
      </c>
      <c r="J25" s="137"/>
      <c r="K25" s="137"/>
      <c r="L25" s="137"/>
      <c r="M25" s="232" t="str">
        <f>IF(Eingabe!D29&amp;""&amp;Eingabe!E29="","",Eingabe!D29&amp;" 
"&amp;Eingabe!E29)</f>
        <v/>
      </c>
      <c r="N25" s="232"/>
      <c r="O25" s="232"/>
      <c r="P25" s="232"/>
      <c r="Q25" s="232"/>
      <c r="R25" s="232"/>
      <c r="S25" s="232"/>
      <c r="T25" s="232"/>
      <c r="U25" s="232"/>
      <c r="V25" s="232"/>
      <c r="W25" s="232"/>
      <c r="X25" s="232"/>
      <c r="Y25" s="232"/>
      <c r="Z25" s="232"/>
      <c r="AA25" s="232"/>
      <c r="AB25" s="232"/>
      <c r="AC25" s="232"/>
      <c r="AD25" s="232"/>
      <c r="AE25" s="232"/>
      <c r="AF25" s="232"/>
      <c r="AG25" s="137" t="str">
        <f>IF(Eingabe!F29&amp;""&amp;Eingabe!G29="","",Eingabe!F29&amp;" 
"&amp;Eingabe!G29)</f>
        <v/>
      </c>
      <c r="AH25" s="137"/>
      <c r="AI25" s="137"/>
      <c r="AJ25" s="137"/>
      <c r="AK25" s="137"/>
      <c r="AL25" s="137"/>
      <c r="AM25" s="137"/>
      <c r="AN25" s="137"/>
      <c r="AO25" s="137"/>
      <c r="AP25" s="137"/>
      <c r="AQ25" s="137"/>
      <c r="AR25" s="137"/>
      <c r="AS25" s="137"/>
      <c r="AT25" s="137"/>
      <c r="AU25" s="137"/>
      <c r="AV25" s="137"/>
      <c r="AW25" s="137"/>
      <c r="AX25" s="137" t="str">
        <f>IF(Eingabe!H29="","",Eingabe!H29)</f>
        <v/>
      </c>
      <c r="AY25" s="137"/>
      <c r="AZ25" s="137"/>
      <c r="BA25" s="137"/>
      <c r="BB25" s="137" t="str">
        <f>IF(Eingabe!K29="","",Eingabe!K29)</f>
        <v/>
      </c>
      <c r="BC25" s="137"/>
      <c r="BD25" s="137"/>
      <c r="BE25" s="137"/>
      <c r="BF25" s="137"/>
      <c r="BG25" s="137"/>
      <c r="BH25" s="137"/>
      <c r="BI25" s="137"/>
      <c r="BJ25" s="137"/>
      <c r="BK25" s="137"/>
      <c r="BL25" s="137"/>
      <c r="BM25" s="137"/>
      <c r="BN25" s="138"/>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22" t="str">
        <f>IF(Eingabe!A30="","",Eingabe!A30)</f>
        <v/>
      </c>
      <c r="B26" s="145"/>
      <c r="C26" s="145"/>
      <c r="D26" s="145"/>
      <c r="E26" s="145" t="str">
        <f>IF(Eingabe!B30="","",Eingabe!B30)</f>
        <v/>
      </c>
      <c r="F26" s="145"/>
      <c r="G26" s="145"/>
      <c r="H26" s="145"/>
      <c r="I26" s="137" t="str">
        <f>IF(Eingabe!C30="","",Eingabe!C30)</f>
        <v/>
      </c>
      <c r="J26" s="137"/>
      <c r="K26" s="137"/>
      <c r="L26" s="137"/>
      <c r="M26" s="232" t="str">
        <f>IF(Eingabe!D30&amp;""&amp;Eingabe!E30="","",Eingabe!D30&amp;" 
"&amp;Eingabe!E30)</f>
        <v/>
      </c>
      <c r="N26" s="232"/>
      <c r="O26" s="232"/>
      <c r="P26" s="232"/>
      <c r="Q26" s="232"/>
      <c r="R26" s="232"/>
      <c r="S26" s="232"/>
      <c r="T26" s="232"/>
      <c r="U26" s="232"/>
      <c r="V26" s="232"/>
      <c r="W26" s="232"/>
      <c r="X26" s="232"/>
      <c r="Y26" s="232"/>
      <c r="Z26" s="232"/>
      <c r="AA26" s="232"/>
      <c r="AB26" s="232"/>
      <c r="AC26" s="232"/>
      <c r="AD26" s="232"/>
      <c r="AE26" s="232"/>
      <c r="AF26" s="232"/>
      <c r="AG26" s="137" t="str">
        <f>IF(Eingabe!F30&amp;""&amp;Eingabe!G30="","",Eingabe!F30&amp;" 
"&amp;Eingabe!G30)</f>
        <v/>
      </c>
      <c r="AH26" s="137"/>
      <c r="AI26" s="137"/>
      <c r="AJ26" s="137"/>
      <c r="AK26" s="137"/>
      <c r="AL26" s="137"/>
      <c r="AM26" s="137"/>
      <c r="AN26" s="137"/>
      <c r="AO26" s="137"/>
      <c r="AP26" s="137"/>
      <c r="AQ26" s="137"/>
      <c r="AR26" s="137"/>
      <c r="AS26" s="137"/>
      <c r="AT26" s="137"/>
      <c r="AU26" s="137"/>
      <c r="AV26" s="137"/>
      <c r="AW26" s="137"/>
      <c r="AX26" s="137" t="str">
        <f>IF(Eingabe!H30="","",Eingabe!H30)</f>
        <v/>
      </c>
      <c r="AY26" s="137"/>
      <c r="AZ26" s="137"/>
      <c r="BA26" s="137"/>
      <c r="BB26" s="137" t="str">
        <f>IF(Eingabe!K30="","",Eingabe!K30)</f>
        <v/>
      </c>
      <c r="BC26" s="137"/>
      <c r="BD26" s="137"/>
      <c r="BE26" s="137"/>
      <c r="BF26" s="137"/>
      <c r="BG26" s="137"/>
      <c r="BH26" s="137"/>
      <c r="BI26" s="137"/>
      <c r="BJ26" s="137"/>
      <c r="BK26" s="137"/>
      <c r="BL26" s="137"/>
      <c r="BM26" s="137"/>
      <c r="BN26" s="138"/>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22" t="str">
        <f>IF(Eingabe!A31="","",Eingabe!A31)</f>
        <v/>
      </c>
      <c r="B27" s="145"/>
      <c r="C27" s="145"/>
      <c r="D27" s="145"/>
      <c r="E27" s="145" t="str">
        <f>IF(Eingabe!B31="","",Eingabe!B31)</f>
        <v/>
      </c>
      <c r="F27" s="145"/>
      <c r="G27" s="145"/>
      <c r="H27" s="145"/>
      <c r="I27" s="137" t="str">
        <f>IF(Eingabe!C31="","",Eingabe!C31)</f>
        <v/>
      </c>
      <c r="J27" s="137"/>
      <c r="K27" s="137"/>
      <c r="L27" s="137"/>
      <c r="M27" s="232" t="str">
        <f>IF(Eingabe!D31&amp;""&amp;Eingabe!E31="","",Eingabe!D31&amp;" 
"&amp;Eingabe!E31)</f>
        <v/>
      </c>
      <c r="N27" s="232"/>
      <c r="O27" s="232"/>
      <c r="P27" s="232"/>
      <c r="Q27" s="232"/>
      <c r="R27" s="232"/>
      <c r="S27" s="232"/>
      <c r="T27" s="232"/>
      <c r="U27" s="232"/>
      <c r="V27" s="232"/>
      <c r="W27" s="232"/>
      <c r="X27" s="232"/>
      <c r="Y27" s="232"/>
      <c r="Z27" s="232"/>
      <c r="AA27" s="232"/>
      <c r="AB27" s="232"/>
      <c r="AC27" s="232"/>
      <c r="AD27" s="232"/>
      <c r="AE27" s="232"/>
      <c r="AF27" s="232"/>
      <c r="AG27" s="137" t="str">
        <f>IF(Eingabe!F31&amp;""&amp;Eingabe!G31="","",Eingabe!F31&amp;" 
"&amp;Eingabe!G31)</f>
        <v/>
      </c>
      <c r="AH27" s="137"/>
      <c r="AI27" s="137"/>
      <c r="AJ27" s="137"/>
      <c r="AK27" s="137"/>
      <c r="AL27" s="137"/>
      <c r="AM27" s="137"/>
      <c r="AN27" s="137"/>
      <c r="AO27" s="137"/>
      <c r="AP27" s="137"/>
      <c r="AQ27" s="137"/>
      <c r="AR27" s="137"/>
      <c r="AS27" s="137"/>
      <c r="AT27" s="137"/>
      <c r="AU27" s="137"/>
      <c r="AV27" s="137"/>
      <c r="AW27" s="137"/>
      <c r="AX27" s="137" t="str">
        <f>IF(Eingabe!H31="","",Eingabe!H31)</f>
        <v/>
      </c>
      <c r="AY27" s="137"/>
      <c r="AZ27" s="137"/>
      <c r="BA27" s="137"/>
      <c r="BB27" s="137" t="str">
        <f>IF(Eingabe!K31="","",Eingabe!K31)</f>
        <v/>
      </c>
      <c r="BC27" s="137"/>
      <c r="BD27" s="137"/>
      <c r="BE27" s="137"/>
      <c r="BF27" s="137"/>
      <c r="BG27" s="137"/>
      <c r="BH27" s="137"/>
      <c r="BI27" s="137"/>
      <c r="BJ27" s="137"/>
      <c r="BK27" s="137"/>
      <c r="BL27" s="137"/>
      <c r="BM27" s="137"/>
      <c r="BN27" s="138"/>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20" t="str">
        <f>IF(Eingabe!A32="","",Eingabe!A32)</f>
        <v/>
      </c>
      <c r="B28" s="221"/>
      <c r="C28" s="221"/>
      <c r="D28" s="221"/>
      <c r="E28" s="221" t="str">
        <f>IF(Eingabe!B32="","",Eingabe!B32)</f>
        <v/>
      </c>
      <c r="F28" s="221"/>
      <c r="G28" s="221"/>
      <c r="H28" s="221"/>
      <c r="I28" s="182" t="str">
        <f>IF(Eingabe!C32="","",Eingabe!C32)</f>
        <v/>
      </c>
      <c r="J28" s="182"/>
      <c r="K28" s="182"/>
      <c r="L28" s="182"/>
      <c r="M28" s="232" t="str">
        <f>IF(Eingabe!D32&amp;""&amp;Eingabe!E32="","",Eingabe!D32&amp;" 
"&amp;Eingabe!E32)</f>
        <v/>
      </c>
      <c r="N28" s="232"/>
      <c r="O28" s="232"/>
      <c r="P28" s="232"/>
      <c r="Q28" s="232"/>
      <c r="R28" s="232"/>
      <c r="S28" s="232"/>
      <c r="T28" s="232"/>
      <c r="U28" s="232"/>
      <c r="V28" s="232"/>
      <c r="W28" s="232"/>
      <c r="X28" s="232"/>
      <c r="Y28" s="232"/>
      <c r="Z28" s="232"/>
      <c r="AA28" s="232"/>
      <c r="AB28" s="232"/>
      <c r="AC28" s="232"/>
      <c r="AD28" s="232"/>
      <c r="AE28" s="232"/>
      <c r="AF28" s="232"/>
      <c r="AG28" s="137" t="str">
        <f>IF(Eingabe!F32&amp;""&amp;Eingabe!G32="","",Eingabe!F32&amp;" 
"&amp;Eingabe!G32)</f>
        <v/>
      </c>
      <c r="AH28" s="137"/>
      <c r="AI28" s="137"/>
      <c r="AJ28" s="137"/>
      <c r="AK28" s="137"/>
      <c r="AL28" s="137"/>
      <c r="AM28" s="137"/>
      <c r="AN28" s="137"/>
      <c r="AO28" s="137"/>
      <c r="AP28" s="137"/>
      <c r="AQ28" s="137"/>
      <c r="AR28" s="137"/>
      <c r="AS28" s="137"/>
      <c r="AT28" s="137"/>
      <c r="AU28" s="137"/>
      <c r="AV28" s="137"/>
      <c r="AW28" s="137"/>
      <c r="AX28" s="182" t="str">
        <f>IF(Eingabe!H32="","",Eingabe!H32)</f>
        <v/>
      </c>
      <c r="AY28" s="182"/>
      <c r="AZ28" s="182"/>
      <c r="BA28" s="182"/>
      <c r="BB28" s="182" t="str">
        <f>IF(Eingabe!K32="","",Eingabe!K32)</f>
        <v/>
      </c>
      <c r="BC28" s="182"/>
      <c r="BD28" s="182"/>
      <c r="BE28" s="182"/>
      <c r="BF28" s="182"/>
      <c r="BG28" s="182"/>
      <c r="BH28" s="182"/>
      <c r="BI28" s="182"/>
      <c r="BJ28" s="182"/>
      <c r="BK28" s="182"/>
      <c r="BL28" s="182"/>
      <c r="BM28" s="182"/>
      <c r="BN28" s="233"/>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83" t="s">
        <v>0</v>
      </c>
      <c r="B29" s="184"/>
      <c r="C29" s="184"/>
      <c r="D29" s="184"/>
      <c r="E29" s="184"/>
      <c r="F29" s="184"/>
      <c r="G29" s="184"/>
      <c r="H29" s="184"/>
      <c r="I29" s="184"/>
      <c r="J29" s="184"/>
      <c r="K29" s="184"/>
      <c r="L29" s="184"/>
      <c r="M29" s="184"/>
      <c r="N29" s="184"/>
      <c r="O29" s="184"/>
      <c r="P29" s="184"/>
      <c r="Q29" s="184"/>
      <c r="R29" s="184"/>
      <c r="S29" s="184"/>
      <c r="T29" s="184"/>
      <c r="U29" s="184"/>
      <c r="V29" s="185"/>
      <c r="W29" s="134" t="s">
        <v>1</v>
      </c>
      <c r="X29" s="135"/>
      <c r="Y29" s="135"/>
      <c r="Z29" s="135"/>
      <c r="AA29" s="135"/>
      <c r="AB29" s="135"/>
      <c r="AC29" s="135"/>
      <c r="AD29" s="135"/>
      <c r="AE29" s="135"/>
      <c r="AF29" s="135"/>
      <c r="AG29" s="135"/>
      <c r="AH29" s="135"/>
      <c r="AI29" s="135"/>
      <c r="AJ29" s="135"/>
      <c r="AK29" s="135"/>
      <c r="AL29" s="135"/>
      <c r="AM29" s="135"/>
      <c r="AN29" s="135"/>
      <c r="AO29" s="135"/>
      <c r="AP29" s="135"/>
      <c r="AQ29" s="135"/>
      <c r="AR29" s="136"/>
      <c r="AS29" s="134" t="s">
        <v>2</v>
      </c>
      <c r="AT29" s="135"/>
      <c r="AU29" s="135"/>
      <c r="AV29" s="135"/>
      <c r="AW29" s="135"/>
      <c r="AX29" s="135"/>
      <c r="AY29" s="135"/>
      <c r="AZ29" s="135"/>
      <c r="BA29" s="136"/>
      <c r="BB29" s="134" t="s">
        <v>3</v>
      </c>
      <c r="BC29" s="135"/>
      <c r="BD29" s="135"/>
      <c r="BE29" s="135"/>
      <c r="BF29" s="135"/>
      <c r="BG29" s="135"/>
      <c r="BH29" s="135"/>
      <c r="BI29" s="135"/>
      <c r="BJ29" s="135"/>
      <c r="BK29" s="135"/>
      <c r="BL29" s="135"/>
      <c r="BM29" s="135"/>
      <c r="BN29" s="136"/>
    </row>
    <row r="30" spans="1:256" ht="10.5" customHeight="1" x14ac:dyDescent="0.2">
      <c r="A30" s="146" t="str">
        <f>IF(Eingabe!O2="","",Eingabe!O2)</f>
        <v>Beilage 3</v>
      </c>
      <c r="B30" s="147"/>
      <c r="C30" s="147"/>
      <c r="D30" s="147"/>
      <c r="E30" s="147"/>
      <c r="F30" s="147"/>
      <c r="G30" s="147"/>
      <c r="H30" s="147"/>
      <c r="I30" s="147"/>
      <c r="J30" s="147"/>
      <c r="K30" s="147"/>
      <c r="L30" s="147"/>
      <c r="M30" s="147"/>
      <c r="N30" s="147"/>
      <c r="O30" s="147"/>
      <c r="P30" s="147"/>
      <c r="Q30" s="147"/>
      <c r="R30" s="147"/>
      <c r="S30" s="147"/>
      <c r="T30" s="147"/>
      <c r="U30" s="147"/>
      <c r="V30" s="148"/>
      <c r="W30" s="186" t="str">
        <f>IF(Eingabe!E3="","",Eingabe!E3)</f>
        <v>Max Mustermann</v>
      </c>
      <c r="X30" s="187"/>
      <c r="Y30" s="187"/>
      <c r="Z30" s="187"/>
      <c r="AA30" s="187"/>
      <c r="AB30" s="187"/>
      <c r="AC30" s="187"/>
      <c r="AD30" s="187"/>
      <c r="AE30" s="187"/>
      <c r="AF30" s="187"/>
      <c r="AG30" s="187"/>
      <c r="AH30" s="187"/>
      <c r="AI30" s="187"/>
      <c r="AJ30" s="187"/>
      <c r="AK30" s="187"/>
      <c r="AL30" s="187"/>
      <c r="AM30" s="187"/>
      <c r="AN30" s="187"/>
      <c r="AO30" s="187"/>
      <c r="AP30" s="187"/>
      <c r="AQ30" s="187"/>
      <c r="AR30" s="188"/>
      <c r="AS30" s="192" t="str">
        <f>IF(Eingabe!I1="","",Eingabe!I1)</f>
        <v/>
      </c>
      <c r="AT30" s="193"/>
      <c r="AU30" s="193"/>
      <c r="AV30" s="193"/>
      <c r="AW30" s="193"/>
      <c r="AX30" s="193"/>
      <c r="AY30" s="193"/>
      <c r="AZ30" s="193"/>
      <c r="BA30" s="194"/>
      <c r="BB30" s="210" t="str">
        <f>IF(Eingabe!I2="","",Eingabe!I2)</f>
        <v/>
      </c>
      <c r="BC30" s="211"/>
      <c r="BD30" s="211"/>
      <c r="BE30" s="211"/>
      <c r="BF30" s="211"/>
      <c r="BG30" s="211"/>
      <c r="BH30" s="211"/>
      <c r="BI30" s="211"/>
      <c r="BJ30" s="211"/>
      <c r="BK30" s="211"/>
      <c r="BL30" s="211"/>
      <c r="BM30" s="211"/>
      <c r="BN30" s="212"/>
    </row>
    <row r="31" spans="1:256" ht="10.5" customHeight="1" thickBot="1" x14ac:dyDescent="0.25">
      <c r="A31" s="149"/>
      <c r="B31" s="150"/>
      <c r="C31" s="150"/>
      <c r="D31" s="150"/>
      <c r="E31" s="150"/>
      <c r="F31" s="150"/>
      <c r="G31" s="150"/>
      <c r="H31" s="150"/>
      <c r="I31" s="150"/>
      <c r="J31" s="150"/>
      <c r="K31" s="150"/>
      <c r="L31" s="150"/>
      <c r="M31" s="150"/>
      <c r="N31" s="150"/>
      <c r="O31" s="150"/>
      <c r="P31" s="150"/>
      <c r="Q31" s="150"/>
      <c r="R31" s="150"/>
      <c r="S31" s="150"/>
      <c r="T31" s="150"/>
      <c r="U31" s="150"/>
      <c r="V31" s="151"/>
      <c r="W31" s="189"/>
      <c r="X31" s="190"/>
      <c r="Y31" s="190"/>
      <c r="Z31" s="190"/>
      <c r="AA31" s="190"/>
      <c r="AB31" s="190"/>
      <c r="AC31" s="190"/>
      <c r="AD31" s="190"/>
      <c r="AE31" s="190"/>
      <c r="AF31" s="190"/>
      <c r="AG31" s="190"/>
      <c r="AH31" s="190"/>
      <c r="AI31" s="190"/>
      <c r="AJ31" s="190"/>
      <c r="AK31" s="190"/>
      <c r="AL31" s="190"/>
      <c r="AM31" s="190"/>
      <c r="AN31" s="190"/>
      <c r="AO31" s="190"/>
      <c r="AP31" s="190"/>
      <c r="AQ31" s="190"/>
      <c r="AR31" s="191"/>
      <c r="AS31" s="195"/>
      <c r="AT31" s="196"/>
      <c r="AU31" s="196"/>
      <c r="AV31" s="196"/>
      <c r="AW31" s="196"/>
      <c r="AX31" s="196"/>
      <c r="AY31" s="196"/>
      <c r="AZ31" s="196"/>
      <c r="BA31" s="197"/>
      <c r="BB31" s="213"/>
      <c r="BC31" s="214"/>
      <c r="BD31" s="214"/>
      <c r="BE31" s="214"/>
      <c r="BF31" s="214"/>
      <c r="BG31" s="214"/>
      <c r="BH31" s="214"/>
      <c r="BI31" s="214"/>
      <c r="BJ31" s="214"/>
      <c r="BK31" s="214"/>
      <c r="BL31" s="214"/>
      <c r="BM31" s="214"/>
      <c r="BN31" s="215"/>
    </row>
    <row r="32" spans="1:256" ht="10.5" customHeight="1" x14ac:dyDescent="0.2">
      <c r="A32" s="173"/>
      <c r="B32" s="174"/>
      <c r="C32" s="174"/>
      <c r="D32" s="174"/>
      <c r="E32" s="174"/>
      <c r="F32" s="174"/>
      <c r="G32" s="174"/>
      <c r="H32" s="174"/>
      <c r="I32" s="174"/>
      <c r="J32" s="174"/>
      <c r="K32" s="174"/>
      <c r="L32" s="174"/>
      <c r="M32" s="174"/>
      <c r="N32" s="174"/>
      <c r="O32" s="174"/>
      <c r="P32" s="174"/>
      <c r="Q32" s="174"/>
      <c r="R32" s="174"/>
      <c r="S32" s="174"/>
      <c r="T32" s="174"/>
      <c r="U32" s="174"/>
      <c r="V32" s="175"/>
      <c r="W32" s="134" t="s">
        <v>4</v>
      </c>
      <c r="X32" s="135"/>
      <c r="Y32" s="135"/>
      <c r="Z32" s="135"/>
      <c r="AA32" s="135"/>
      <c r="AB32" s="135"/>
      <c r="AC32" s="135"/>
      <c r="AD32" s="135"/>
      <c r="AE32" s="135"/>
      <c r="AF32" s="136"/>
      <c r="AG32" s="134" t="s">
        <v>5</v>
      </c>
      <c r="AH32" s="135"/>
      <c r="AI32" s="135"/>
      <c r="AJ32" s="136"/>
      <c r="AK32" s="134" t="s">
        <v>6</v>
      </c>
      <c r="AL32" s="135"/>
      <c r="AM32" s="135"/>
      <c r="AN32" s="136"/>
      <c r="AO32" s="134" t="s">
        <v>7</v>
      </c>
      <c r="AP32" s="135"/>
      <c r="AQ32" s="135"/>
      <c r="AR32" s="136"/>
      <c r="AS32" s="198" t="s">
        <v>8</v>
      </c>
      <c r="AT32" s="199"/>
      <c r="AU32" s="199"/>
      <c r="AV32" s="199"/>
      <c r="AW32" s="199"/>
      <c r="AX32" s="199"/>
      <c r="AY32" s="199"/>
      <c r="AZ32" s="199"/>
      <c r="BA32" s="199"/>
      <c r="BB32" s="199"/>
      <c r="BC32" s="199"/>
      <c r="BD32" s="199"/>
      <c r="BE32" s="199"/>
      <c r="BF32" s="199"/>
      <c r="BG32" s="199"/>
      <c r="BH32" s="200"/>
      <c r="BI32" s="134" t="s">
        <v>9</v>
      </c>
      <c r="BJ32" s="135"/>
      <c r="BK32" s="135"/>
      <c r="BL32" s="135"/>
      <c r="BM32" s="135"/>
      <c r="BN32" s="136"/>
    </row>
    <row r="33" spans="1:66" ht="10.5" customHeight="1" x14ac:dyDescent="0.2">
      <c r="A33" s="176"/>
      <c r="B33" s="177"/>
      <c r="C33" s="177"/>
      <c r="D33" s="177"/>
      <c r="E33" s="177"/>
      <c r="F33" s="177"/>
      <c r="G33" s="177"/>
      <c r="H33" s="177"/>
      <c r="I33" s="177"/>
      <c r="J33" s="177"/>
      <c r="K33" s="177"/>
      <c r="L33" s="177"/>
      <c r="M33" s="177"/>
      <c r="N33" s="177"/>
      <c r="O33" s="177"/>
      <c r="P33" s="177"/>
      <c r="Q33" s="177"/>
      <c r="R33" s="177"/>
      <c r="S33" s="177"/>
      <c r="T33" s="177"/>
      <c r="U33" s="177"/>
      <c r="V33" s="178"/>
      <c r="W33" s="167" t="str">
        <f>IF(CONCATENATE(Eingabe!E1," ", Eingabe!E2)="","",CONCATENATE(Eingabe!E1," ", Eingabe!E2))</f>
        <v>xxHELx xx</v>
      </c>
      <c r="X33" s="168"/>
      <c r="Y33" s="168"/>
      <c r="Z33" s="168"/>
      <c r="AA33" s="168"/>
      <c r="AB33" s="168"/>
      <c r="AC33" s="168"/>
      <c r="AD33" s="168"/>
      <c r="AE33" s="168"/>
      <c r="AF33" s="169"/>
      <c r="AG33" s="167" t="str">
        <f>IF(Eingabe!E4="","",Eingabe!E4)</f>
        <v>MusM</v>
      </c>
      <c r="AH33" s="168"/>
      <c r="AI33" s="168"/>
      <c r="AJ33" s="169"/>
      <c r="AK33" s="152" t="str">
        <f>IF(Eingabe!I3="","",Eingabe!I3)</f>
        <v/>
      </c>
      <c r="AL33" s="153"/>
      <c r="AM33" s="153"/>
      <c r="AN33" s="154"/>
      <c r="AO33" s="152" t="str">
        <f>IF(Eingabe!I4="","",Eingabe!I4)</f>
        <v/>
      </c>
      <c r="AP33" s="153"/>
      <c r="AQ33" s="153"/>
      <c r="AR33" s="154"/>
      <c r="AS33" s="139" t="str">
        <f>IF(Eingabe!L1="","",Eingabe!L1)</f>
        <v>Stückliste</v>
      </c>
      <c r="AT33" s="140"/>
      <c r="AU33" s="140"/>
      <c r="AV33" s="140"/>
      <c r="AW33" s="140"/>
      <c r="AX33" s="140"/>
      <c r="AY33" s="140"/>
      <c r="AZ33" s="140"/>
      <c r="BA33" s="140"/>
      <c r="BB33" s="140"/>
      <c r="BC33" s="140"/>
      <c r="BD33" s="140"/>
      <c r="BE33" s="140"/>
      <c r="BF33" s="140"/>
      <c r="BG33" s="140"/>
      <c r="BH33" s="141"/>
      <c r="BI33" s="167" t="str">
        <f>IF(Eingabe!I5="","",Eingabe!I5)</f>
        <v>StrH</v>
      </c>
      <c r="BJ33" s="168"/>
      <c r="BK33" s="168"/>
      <c r="BL33" s="168"/>
      <c r="BM33" s="168"/>
      <c r="BN33" s="169"/>
    </row>
    <row r="34" spans="1:66" ht="10.5" customHeight="1" thickBot="1" x14ac:dyDescent="0.25">
      <c r="A34" s="176"/>
      <c r="B34" s="177"/>
      <c r="C34" s="177"/>
      <c r="D34" s="177"/>
      <c r="E34" s="177"/>
      <c r="F34" s="177"/>
      <c r="G34" s="177"/>
      <c r="H34" s="177"/>
      <c r="I34" s="177"/>
      <c r="J34" s="177"/>
      <c r="K34" s="177"/>
      <c r="L34" s="177"/>
      <c r="M34" s="177"/>
      <c r="N34" s="177"/>
      <c r="O34" s="177"/>
      <c r="P34" s="177"/>
      <c r="Q34" s="177"/>
      <c r="R34" s="177"/>
      <c r="S34" s="177"/>
      <c r="T34" s="177"/>
      <c r="U34" s="177"/>
      <c r="V34" s="178"/>
      <c r="W34" s="170"/>
      <c r="X34" s="171"/>
      <c r="Y34" s="171"/>
      <c r="Z34" s="171"/>
      <c r="AA34" s="171"/>
      <c r="AB34" s="171"/>
      <c r="AC34" s="171"/>
      <c r="AD34" s="171"/>
      <c r="AE34" s="171"/>
      <c r="AF34" s="172"/>
      <c r="AG34" s="170"/>
      <c r="AH34" s="171"/>
      <c r="AI34" s="171"/>
      <c r="AJ34" s="172"/>
      <c r="AK34" s="155"/>
      <c r="AL34" s="156"/>
      <c r="AM34" s="156"/>
      <c r="AN34" s="157"/>
      <c r="AO34" s="155"/>
      <c r="AP34" s="156"/>
      <c r="AQ34" s="156"/>
      <c r="AR34" s="157"/>
      <c r="AS34" s="142"/>
      <c r="AT34" s="143"/>
      <c r="AU34" s="143"/>
      <c r="AV34" s="143"/>
      <c r="AW34" s="143"/>
      <c r="AX34" s="143"/>
      <c r="AY34" s="143"/>
      <c r="AZ34" s="143"/>
      <c r="BA34" s="143"/>
      <c r="BB34" s="143"/>
      <c r="BC34" s="143"/>
      <c r="BD34" s="143"/>
      <c r="BE34" s="143"/>
      <c r="BF34" s="143"/>
      <c r="BG34" s="143"/>
      <c r="BH34" s="144"/>
      <c r="BI34" s="170"/>
      <c r="BJ34" s="171"/>
      <c r="BK34" s="171"/>
      <c r="BL34" s="171"/>
      <c r="BM34" s="171"/>
      <c r="BN34" s="172"/>
    </row>
    <row r="35" spans="1:66" ht="10.5" customHeight="1" x14ac:dyDescent="0.2">
      <c r="A35" s="176"/>
      <c r="B35" s="177"/>
      <c r="C35" s="177"/>
      <c r="D35" s="177"/>
      <c r="E35" s="177"/>
      <c r="F35" s="177"/>
      <c r="G35" s="177"/>
      <c r="H35" s="177"/>
      <c r="I35" s="177"/>
      <c r="J35" s="177"/>
      <c r="K35" s="177"/>
      <c r="L35" s="177"/>
      <c r="M35" s="177"/>
      <c r="N35" s="177"/>
      <c r="O35" s="177"/>
      <c r="P35" s="177"/>
      <c r="Q35" s="177"/>
      <c r="R35" s="177"/>
      <c r="S35" s="177"/>
      <c r="T35" s="177"/>
      <c r="U35" s="177"/>
      <c r="V35" s="178"/>
      <c r="W35" s="134" t="s">
        <v>10</v>
      </c>
      <c r="X35" s="135"/>
      <c r="Y35" s="135"/>
      <c r="Z35" s="135"/>
      <c r="AA35" s="135"/>
      <c r="AB35" s="135"/>
      <c r="AC35" s="135"/>
      <c r="AD35" s="135"/>
      <c r="AE35" s="135"/>
      <c r="AF35" s="135"/>
      <c r="AG35" s="135"/>
      <c r="AH35" s="135"/>
      <c r="AI35" s="135"/>
      <c r="AJ35" s="135"/>
      <c r="AK35" s="135"/>
      <c r="AL35" s="135"/>
      <c r="AM35" s="135"/>
      <c r="AN35" s="135"/>
      <c r="AO35" s="135"/>
      <c r="AP35" s="135"/>
      <c r="AQ35" s="135"/>
      <c r="AR35" s="136"/>
      <c r="AS35" s="134" t="s">
        <v>11</v>
      </c>
      <c r="AT35" s="135"/>
      <c r="AU35" s="135"/>
      <c r="AV35" s="135"/>
      <c r="AW35" s="135"/>
      <c r="AX35" s="135"/>
      <c r="AY35" s="136"/>
      <c r="AZ35" s="134" t="s">
        <v>12</v>
      </c>
      <c r="BA35" s="135"/>
      <c r="BB35" s="135"/>
      <c r="BC35" s="135"/>
      <c r="BD35" s="136"/>
      <c r="BE35" s="134" t="s">
        <v>13</v>
      </c>
      <c r="BF35" s="135"/>
      <c r="BG35" s="135"/>
      <c r="BH35" s="135"/>
      <c r="BI35" s="135"/>
      <c r="BJ35" s="135"/>
      <c r="BK35" s="135"/>
      <c r="BL35" s="135"/>
      <c r="BM35" s="135"/>
      <c r="BN35" s="136"/>
    </row>
    <row r="36" spans="1:66" ht="10.5" customHeight="1" x14ac:dyDescent="0.2">
      <c r="A36" s="176"/>
      <c r="B36" s="177"/>
      <c r="C36" s="177"/>
      <c r="D36" s="177"/>
      <c r="E36" s="177"/>
      <c r="F36" s="177"/>
      <c r="G36" s="177"/>
      <c r="H36" s="177"/>
      <c r="I36" s="177"/>
      <c r="J36" s="177"/>
      <c r="K36" s="177"/>
      <c r="L36" s="177"/>
      <c r="M36" s="177"/>
      <c r="N36" s="177"/>
      <c r="O36" s="177"/>
      <c r="P36" s="177"/>
      <c r="Q36" s="177"/>
      <c r="R36" s="177"/>
      <c r="S36" s="177"/>
      <c r="T36" s="177"/>
      <c r="U36" s="177"/>
      <c r="V36" s="178"/>
      <c r="W36" s="179" t="str">
        <f>IF(Eingabe!E5="","",Eingabe!E5)</f>
        <v>Gemini 4</v>
      </c>
      <c r="X36" s="180"/>
      <c r="Y36" s="180"/>
      <c r="Z36" s="180"/>
      <c r="AA36" s="180"/>
      <c r="AB36" s="180"/>
      <c r="AC36" s="180"/>
      <c r="AD36" s="180"/>
      <c r="AE36" s="180"/>
      <c r="AF36" s="180"/>
      <c r="AG36" s="180"/>
      <c r="AH36" s="180"/>
      <c r="AI36" s="180"/>
      <c r="AJ36" s="180"/>
      <c r="AK36" s="180"/>
      <c r="AL36" s="180"/>
      <c r="AM36" s="180"/>
      <c r="AN36" s="180"/>
      <c r="AO36" s="180"/>
      <c r="AP36" s="180"/>
      <c r="AQ36" s="180"/>
      <c r="AR36" s="181"/>
      <c r="AS36" s="219" t="str">
        <f>IF(Eingabe!L3="","",Eingabe!L3)</f>
        <v>4.4</v>
      </c>
      <c r="AT36" s="193"/>
      <c r="AU36" s="193"/>
      <c r="AV36" s="193"/>
      <c r="AW36" s="193"/>
      <c r="AX36" s="193"/>
      <c r="AY36" s="194"/>
      <c r="AZ36" s="210" t="str">
        <f>IF(Eingabe!L4="","",Eingabe!L4)</f>
        <v>002</v>
      </c>
      <c r="BA36" s="211"/>
      <c r="BB36" s="211"/>
      <c r="BC36" s="211"/>
      <c r="BD36" s="212"/>
      <c r="BE36" s="139" t="str">
        <f>IF(Eingabe!L5="","",Eingabe!L5)</f>
        <v>Fertigung</v>
      </c>
      <c r="BF36" s="140"/>
      <c r="BG36" s="140"/>
      <c r="BH36" s="140"/>
      <c r="BI36" s="140"/>
      <c r="BJ36" s="140"/>
      <c r="BK36" s="140"/>
      <c r="BL36" s="140"/>
      <c r="BM36" s="140"/>
      <c r="BN36" s="141"/>
    </row>
    <row r="37" spans="1:66" ht="10.5" customHeight="1" thickBot="1" x14ac:dyDescent="0.25">
      <c r="A37" s="164" t="s">
        <v>14</v>
      </c>
      <c r="B37" s="165"/>
      <c r="C37" s="165"/>
      <c r="D37" s="165"/>
      <c r="E37" s="165"/>
      <c r="F37" s="165"/>
      <c r="G37" s="165"/>
      <c r="H37" s="165"/>
      <c r="I37" s="165"/>
      <c r="J37" s="165"/>
      <c r="K37" s="165"/>
      <c r="L37" s="165"/>
      <c r="M37" s="165"/>
      <c r="N37" s="165"/>
      <c r="O37" s="165"/>
      <c r="P37" s="165"/>
      <c r="Q37" s="165"/>
      <c r="R37" s="165"/>
      <c r="S37" s="165"/>
      <c r="T37" s="165"/>
      <c r="U37" s="165"/>
      <c r="V37" s="166"/>
      <c r="W37" s="179"/>
      <c r="X37" s="180"/>
      <c r="Y37" s="180"/>
      <c r="Z37" s="180"/>
      <c r="AA37" s="180"/>
      <c r="AB37" s="180"/>
      <c r="AC37" s="180"/>
      <c r="AD37" s="180"/>
      <c r="AE37" s="180"/>
      <c r="AF37" s="180"/>
      <c r="AG37" s="180"/>
      <c r="AH37" s="180"/>
      <c r="AI37" s="180"/>
      <c r="AJ37" s="180"/>
      <c r="AK37" s="180"/>
      <c r="AL37" s="180"/>
      <c r="AM37" s="180"/>
      <c r="AN37" s="180"/>
      <c r="AO37" s="180"/>
      <c r="AP37" s="180"/>
      <c r="AQ37" s="180"/>
      <c r="AR37" s="181"/>
      <c r="AS37" s="195"/>
      <c r="AT37" s="196"/>
      <c r="AU37" s="196"/>
      <c r="AV37" s="196"/>
      <c r="AW37" s="196"/>
      <c r="AX37" s="196"/>
      <c r="AY37" s="197"/>
      <c r="AZ37" s="213"/>
      <c r="BA37" s="214"/>
      <c r="BB37" s="214"/>
      <c r="BC37" s="214"/>
      <c r="BD37" s="215"/>
      <c r="BE37" s="142"/>
      <c r="BF37" s="143"/>
      <c r="BG37" s="143"/>
      <c r="BH37" s="143"/>
      <c r="BI37" s="143"/>
      <c r="BJ37" s="143"/>
      <c r="BK37" s="143"/>
      <c r="BL37" s="143"/>
      <c r="BM37" s="143"/>
      <c r="BN37" s="144"/>
    </row>
    <row r="38" spans="1:66" ht="10.5" customHeight="1" x14ac:dyDescent="0.2">
      <c r="A38" s="164"/>
      <c r="B38" s="165"/>
      <c r="C38" s="165"/>
      <c r="D38" s="165"/>
      <c r="E38" s="165"/>
      <c r="F38" s="165"/>
      <c r="G38" s="165"/>
      <c r="H38" s="165"/>
      <c r="I38" s="165"/>
      <c r="J38" s="165"/>
      <c r="K38" s="165"/>
      <c r="L38" s="165"/>
      <c r="M38" s="165"/>
      <c r="N38" s="165"/>
      <c r="O38" s="165"/>
      <c r="P38" s="165"/>
      <c r="Q38" s="165"/>
      <c r="R38" s="165"/>
      <c r="S38" s="165"/>
      <c r="T38" s="165"/>
      <c r="U38" s="165"/>
      <c r="V38" s="166"/>
      <c r="W38" s="179"/>
      <c r="X38" s="180"/>
      <c r="Y38" s="180"/>
      <c r="Z38" s="180"/>
      <c r="AA38" s="180"/>
      <c r="AB38" s="180"/>
      <c r="AC38" s="180"/>
      <c r="AD38" s="180"/>
      <c r="AE38" s="180"/>
      <c r="AF38" s="180"/>
      <c r="AG38" s="180"/>
      <c r="AH38" s="180"/>
      <c r="AI38" s="180"/>
      <c r="AJ38" s="180"/>
      <c r="AK38" s="180"/>
      <c r="AL38" s="180"/>
      <c r="AM38" s="180"/>
      <c r="AN38" s="180"/>
      <c r="AO38" s="180"/>
      <c r="AP38" s="180"/>
      <c r="AQ38" s="180"/>
      <c r="AR38" s="181"/>
      <c r="AS38" s="216" t="s">
        <v>15</v>
      </c>
      <c r="AT38" s="217"/>
      <c r="AU38" s="217"/>
      <c r="AV38" s="218"/>
      <c r="AW38" s="202" t="s">
        <v>16</v>
      </c>
      <c r="AX38" s="202"/>
      <c r="AY38" s="203"/>
      <c r="AZ38" s="134" t="s">
        <v>17</v>
      </c>
      <c r="BA38" s="135"/>
      <c r="BB38" s="135"/>
      <c r="BC38" s="135"/>
      <c r="BD38" s="135"/>
      <c r="BE38" s="135"/>
      <c r="BF38" s="135"/>
      <c r="BG38" s="135"/>
      <c r="BH38" s="136"/>
      <c r="BI38" s="201" t="s">
        <v>18</v>
      </c>
      <c r="BJ38" s="202"/>
      <c r="BK38" s="203"/>
      <c r="BL38" s="14" t="s">
        <v>19</v>
      </c>
      <c r="BM38" s="15"/>
      <c r="BN38" s="16"/>
    </row>
    <row r="39" spans="1:66" ht="10.5" customHeight="1" x14ac:dyDescent="0.2">
      <c r="A39" s="158" t="str">
        <f>IF(Eingabe!M6="","",Eingabe!M6)</f>
        <v>Technische Informatik</v>
      </c>
      <c r="B39" s="159"/>
      <c r="C39" s="159"/>
      <c r="D39" s="159"/>
      <c r="E39" s="159"/>
      <c r="F39" s="159"/>
      <c r="G39" s="159"/>
      <c r="H39" s="159"/>
      <c r="I39" s="159"/>
      <c r="J39" s="159"/>
      <c r="K39" s="159"/>
      <c r="L39" s="159"/>
      <c r="M39" s="159"/>
      <c r="N39" s="159"/>
      <c r="O39" s="159"/>
      <c r="P39" s="159"/>
      <c r="Q39" s="159"/>
      <c r="R39" s="159"/>
      <c r="S39" s="159"/>
      <c r="T39" s="159"/>
      <c r="U39" s="159"/>
      <c r="V39" s="160"/>
      <c r="W39" s="139" t="str">
        <f>IF(Eingabe!E6="","",Eingabe!E6)</f>
        <v>Entwicklerboard</v>
      </c>
      <c r="X39" s="140"/>
      <c r="Y39" s="140"/>
      <c r="Z39" s="140"/>
      <c r="AA39" s="140"/>
      <c r="AB39" s="140"/>
      <c r="AC39" s="140"/>
      <c r="AD39" s="140"/>
      <c r="AE39" s="140"/>
      <c r="AF39" s="140"/>
      <c r="AG39" s="140"/>
      <c r="AH39" s="140"/>
      <c r="AI39" s="140"/>
      <c r="AJ39" s="140"/>
      <c r="AK39" s="140"/>
      <c r="AL39" s="140"/>
      <c r="AM39" s="140"/>
      <c r="AN39" s="140"/>
      <c r="AO39" s="140"/>
      <c r="AP39" s="140"/>
      <c r="AQ39" s="140"/>
      <c r="AR39" s="141"/>
      <c r="AS39" s="152" t="str">
        <f>IF(Eingabe!L6="","",Eingabe!L6)</f>
        <v>ohne</v>
      </c>
      <c r="AT39" s="153"/>
      <c r="AU39" s="153"/>
      <c r="AV39" s="154"/>
      <c r="AW39" s="168" t="str">
        <f>IF(Eingabe!I6="","",Eingabe!I6)</f>
        <v>DE</v>
      </c>
      <c r="AX39" s="168"/>
      <c r="AY39" s="169"/>
      <c r="AZ39" s="204">
        <f ca="1">IF(Eingabe!L2="","",Eingabe!L2)</f>
        <v>42272</v>
      </c>
      <c r="BA39" s="205"/>
      <c r="BB39" s="205"/>
      <c r="BC39" s="205"/>
      <c r="BD39" s="205"/>
      <c r="BE39" s="205"/>
      <c r="BF39" s="205"/>
      <c r="BG39" s="205"/>
      <c r="BH39" s="206"/>
      <c r="BI39" s="152">
        <v>1</v>
      </c>
      <c r="BJ39" s="153"/>
      <c r="BK39" s="154"/>
      <c r="BL39" s="152">
        <f>(5-(IF(Eingabe!$C$33="","1","0"))-(IF(Eingabe!$C$58="","1","0"))-(IF(Eingabe!$C$83="","1","0"))-(IF(Eingabe!$C$108="","1","0")))</f>
        <v>1</v>
      </c>
      <c r="BM39" s="153"/>
      <c r="BN39" s="154"/>
    </row>
    <row r="40" spans="1:66" ht="10.5" customHeight="1" thickBot="1" x14ac:dyDescent="0.25">
      <c r="A40" s="161"/>
      <c r="B40" s="162"/>
      <c r="C40" s="162"/>
      <c r="D40" s="162"/>
      <c r="E40" s="162"/>
      <c r="F40" s="162"/>
      <c r="G40" s="162"/>
      <c r="H40" s="162"/>
      <c r="I40" s="162"/>
      <c r="J40" s="162"/>
      <c r="K40" s="162"/>
      <c r="L40" s="162"/>
      <c r="M40" s="162"/>
      <c r="N40" s="162"/>
      <c r="O40" s="162"/>
      <c r="P40" s="162"/>
      <c r="Q40" s="162"/>
      <c r="R40" s="162"/>
      <c r="S40" s="162"/>
      <c r="T40" s="162"/>
      <c r="U40" s="162"/>
      <c r="V40" s="163"/>
      <c r="W40" s="142"/>
      <c r="X40" s="143"/>
      <c r="Y40" s="143"/>
      <c r="Z40" s="143"/>
      <c r="AA40" s="143"/>
      <c r="AB40" s="143"/>
      <c r="AC40" s="143"/>
      <c r="AD40" s="143"/>
      <c r="AE40" s="143"/>
      <c r="AF40" s="143"/>
      <c r="AG40" s="143"/>
      <c r="AH40" s="143"/>
      <c r="AI40" s="143"/>
      <c r="AJ40" s="143"/>
      <c r="AK40" s="143"/>
      <c r="AL40" s="143"/>
      <c r="AM40" s="143"/>
      <c r="AN40" s="143"/>
      <c r="AO40" s="143"/>
      <c r="AP40" s="143"/>
      <c r="AQ40" s="143"/>
      <c r="AR40" s="144"/>
      <c r="AS40" s="155"/>
      <c r="AT40" s="156"/>
      <c r="AU40" s="156"/>
      <c r="AV40" s="157"/>
      <c r="AW40" s="171"/>
      <c r="AX40" s="171"/>
      <c r="AY40" s="172"/>
      <c r="AZ40" s="207"/>
      <c r="BA40" s="208"/>
      <c r="BB40" s="208"/>
      <c r="BC40" s="208"/>
      <c r="BD40" s="208"/>
      <c r="BE40" s="208"/>
      <c r="BF40" s="208"/>
      <c r="BG40" s="208"/>
      <c r="BH40" s="209"/>
      <c r="BI40" s="155"/>
      <c r="BJ40" s="156"/>
      <c r="BK40" s="157"/>
      <c r="BL40" s="155"/>
      <c r="BM40" s="156"/>
      <c r="BN40" s="15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M27:AF27"/>
    <mergeCell ref="M23:AF23"/>
    <mergeCell ref="M24:AF24"/>
    <mergeCell ref="BB11:BN11"/>
    <mergeCell ref="AX11:BA11"/>
    <mergeCell ref="M20:AF20"/>
    <mergeCell ref="M21:AF21"/>
    <mergeCell ref="AG11:AW11"/>
    <mergeCell ref="AG12:AW12"/>
    <mergeCell ref="AG13:AW13"/>
    <mergeCell ref="AG14:AW14"/>
    <mergeCell ref="AG15:AW15"/>
    <mergeCell ref="M11:AF11"/>
    <mergeCell ref="AX25:BA25"/>
    <mergeCell ref="AX26:BA26"/>
    <mergeCell ref="AG22:AW22"/>
    <mergeCell ref="BB1:BN1"/>
    <mergeCell ref="BB2:BN3"/>
    <mergeCell ref="BB4:BN4"/>
    <mergeCell ref="E6:H6"/>
    <mergeCell ref="E7:H7"/>
    <mergeCell ref="E8:H8"/>
    <mergeCell ref="BB5:BN5"/>
    <mergeCell ref="AX1:BA1"/>
    <mergeCell ref="AG1:AW1"/>
    <mergeCell ref="AX8:BA8"/>
    <mergeCell ref="M8:AF8"/>
    <mergeCell ref="AG8:AW8"/>
    <mergeCell ref="BB8:BN8"/>
    <mergeCell ref="AX2:BA3"/>
    <mergeCell ref="AX4:BA4"/>
    <mergeCell ref="AX5:BA5"/>
    <mergeCell ref="M1:AF1"/>
    <mergeCell ref="M7:AF7"/>
    <mergeCell ref="M2:AF3"/>
    <mergeCell ref="M4:AF4"/>
    <mergeCell ref="AG2:AW3"/>
    <mergeCell ref="AG4:AW4"/>
    <mergeCell ref="AG5:AW5"/>
    <mergeCell ref="AG6:AW6"/>
    <mergeCell ref="M5:AF5"/>
    <mergeCell ref="BB30:BN31"/>
    <mergeCell ref="M22:AF22"/>
    <mergeCell ref="M28:AF28"/>
    <mergeCell ref="AG25:AW25"/>
    <mergeCell ref="AG26:AW26"/>
    <mergeCell ref="AG23:AW23"/>
    <mergeCell ref="BB29:BN29"/>
    <mergeCell ref="AG27:AW27"/>
    <mergeCell ref="AG28:AW28"/>
    <mergeCell ref="M25:AF25"/>
    <mergeCell ref="AX6:BA6"/>
    <mergeCell ref="AX7:BA7"/>
    <mergeCell ref="AG7:AW7"/>
    <mergeCell ref="BB28:BN28"/>
    <mergeCell ref="BB27:BN27"/>
    <mergeCell ref="BB25:BN25"/>
    <mergeCell ref="BB26:BN26"/>
    <mergeCell ref="BB22:BN22"/>
    <mergeCell ref="AG21:AW21"/>
    <mergeCell ref="BB24:BN24"/>
    <mergeCell ref="AX27:BA27"/>
    <mergeCell ref="AX28:BA28"/>
    <mergeCell ref="M26:AF26"/>
    <mergeCell ref="AX20:BA20"/>
    <mergeCell ref="AG18:AW18"/>
    <mergeCell ref="AG17:AW17"/>
    <mergeCell ref="AG20:AW20"/>
    <mergeCell ref="AG16:AW16"/>
    <mergeCell ref="M12:AF12"/>
    <mergeCell ref="AG19:AW19"/>
    <mergeCell ref="AX17:BA17"/>
    <mergeCell ref="AX18:BA18"/>
    <mergeCell ref="AG9:AW9"/>
    <mergeCell ref="AG10:AW10"/>
    <mergeCell ref="M10:AF10"/>
    <mergeCell ref="BB6:BN6"/>
    <mergeCell ref="BB7:BN7"/>
    <mergeCell ref="BB10:BN10"/>
    <mergeCell ref="AX10:BA10"/>
    <mergeCell ref="M16:AF16"/>
    <mergeCell ref="BB14:BN14"/>
    <mergeCell ref="BB9:BN9"/>
    <mergeCell ref="AX9:BA9"/>
    <mergeCell ref="M9:AF9"/>
    <mergeCell ref="M14:AF14"/>
    <mergeCell ref="M15:AF15"/>
    <mergeCell ref="M13:AF13"/>
    <mergeCell ref="M6:AF6"/>
    <mergeCell ref="A12:D12"/>
    <mergeCell ref="E14:H14"/>
    <mergeCell ref="E4:H4"/>
    <mergeCell ref="I5:L5"/>
    <mergeCell ref="I10:L10"/>
    <mergeCell ref="I11:L11"/>
    <mergeCell ref="I12:L12"/>
    <mergeCell ref="E2:H3"/>
    <mergeCell ref="I2:L3"/>
    <mergeCell ref="A2:D3"/>
    <mergeCell ref="I8:L8"/>
    <mergeCell ref="I9:L9"/>
    <mergeCell ref="A13:D13"/>
    <mergeCell ref="I14:L14"/>
    <mergeCell ref="I13:L13"/>
    <mergeCell ref="E12:H12"/>
    <mergeCell ref="E13:H13"/>
    <mergeCell ref="E10:H10"/>
    <mergeCell ref="I7:L7"/>
    <mergeCell ref="I6:L6"/>
    <mergeCell ref="E9:H9"/>
    <mergeCell ref="A16:D16"/>
    <mergeCell ref="A14:D14"/>
    <mergeCell ref="I23:L23"/>
    <mergeCell ref="I24:L24"/>
    <mergeCell ref="I25:L25"/>
    <mergeCell ref="A25:D25"/>
    <mergeCell ref="E19:H19"/>
    <mergeCell ref="E20:H20"/>
    <mergeCell ref="A24:D24"/>
    <mergeCell ref="A15:D15"/>
    <mergeCell ref="A23:D23"/>
    <mergeCell ref="E18:H18"/>
    <mergeCell ref="E15:H15"/>
    <mergeCell ref="E16:H16"/>
    <mergeCell ref="E21:H21"/>
    <mergeCell ref="I15:L15"/>
    <mergeCell ref="I22:L22"/>
    <mergeCell ref="I16:L16"/>
    <mergeCell ref="I17:L17"/>
    <mergeCell ref="I18:L18"/>
    <mergeCell ref="I19:L19"/>
    <mergeCell ref="I20:L20"/>
    <mergeCell ref="I21:L21"/>
    <mergeCell ref="E5:H5"/>
    <mergeCell ref="I4:L4"/>
    <mergeCell ref="I1:L1"/>
    <mergeCell ref="E1:H1"/>
    <mergeCell ref="A10:D10"/>
    <mergeCell ref="A11:D11"/>
    <mergeCell ref="A1:D1"/>
    <mergeCell ref="A4:D4"/>
    <mergeCell ref="A5:D5"/>
    <mergeCell ref="A6:D6"/>
    <mergeCell ref="E11:H11"/>
    <mergeCell ref="A7:D7"/>
    <mergeCell ref="A8:D8"/>
    <mergeCell ref="A9:D9"/>
    <mergeCell ref="I27:L27"/>
    <mergeCell ref="A28:D28"/>
    <mergeCell ref="E27:H27"/>
    <mergeCell ref="E28:H28"/>
    <mergeCell ref="A27:D27"/>
    <mergeCell ref="A26:D26"/>
    <mergeCell ref="A22:D22"/>
    <mergeCell ref="E17:H17"/>
    <mergeCell ref="I26:L26"/>
    <mergeCell ref="A17:D17"/>
    <mergeCell ref="A18:D18"/>
    <mergeCell ref="A19:D19"/>
    <mergeCell ref="E23:H23"/>
    <mergeCell ref="E22:H22"/>
    <mergeCell ref="A20:D20"/>
    <mergeCell ref="A21:D21"/>
    <mergeCell ref="BL39:BN40"/>
    <mergeCell ref="BI32:BN32"/>
    <mergeCell ref="BI33:BN34"/>
    <mergeCell ref="AS32:BH32"/>
    <mergeCell ref="AS33:BH34"/>
    <mergeCell ref="BI39:BK40"/>
    <mergeCell ref="BI38:BK38"/>
    <mergeCell ref="BE35:BN35"/>
    <mergeCell ref="BE36:BN37"/>
    <mergeCell ref="AS39:AV40"/>
    <mergeCell ref="AZ38:BH38"/>
    <mergeCell ref="AZ39:BH40"/>
    <mergeCell ref="AW38:AY38"/>
    <mergeCell ref="AW39:AY40"/>
    <mergeCell ref="AZ36:BD37"/>
    <mergeCell ref="AS38:AV38"/>
    <mergeCell ref="AZ35:BD35"/>
    <mergeCell ref="AS35:AY35"/>
    <mergeCell ref="AS36:AY37"/>
    <mergeCell ref="W39:AR40"/>
    <mergeCell ref="W35:AR35"/>
    <mergeCell ref="E24:H24"/>
    <mergeCell ref="E25:H25"/>
    <mergeCell ref="E26:H26"/>
    <mergeCell ref="A30:V31"/>
    <mergeCell ref="AO33:AR34"/>
    <mergeCell ref="A39:V40"/>
    <mergeCell ref="A37:V38"/>
    <mergeCell ref="W33:AF34"/>
    <mergeCell ref="AG33:AJ34"/>
    <mergeCell ref="AK33:AN34"/>
    <mergeCell ref="A32:V36"/>
    <mergeCell ref="W32:AF32"/>
    <mergeCell ref="W36:AR38"/>
    <mergeCell ref="I28:L28"/>
    <mergeCell ref="AO32:AR32"/>
    <mergeCell ref="AG32:AJ32"/>
    <mergeCell ref="AG24:AW24"/>
    <mergeCell ref="A29:V29"/>
    <mergeCell ref="AS29:BA29"/>
    <mergeCell ref="W30:AR31"/>
    <mergeCell ref="AK32:AN32"/>
    <mergeCell ref="AS30:BA31"/>
    <mergeCell ref="W29:AR29"/>
    <mergeCell ref="AX12:BA12"/>
    <mergeCell ref="AX13:BA13"/>
    <mergeCell ref="BB15:BN15"/>
    <mergeCell ref="BB16:BN16"/>
    <mergeCell ref="AX14:BA14"/>
    <mergeCell ref="AX15:BA15"/>
    <mergeCell ref="AX16:BA16"/>
    <mergeCell ref="BB12:BN12"/>
    <mergeCell ref="BB13:BN13"/>
    <mergeCell ref="BB17:BN17"/>
    <mergeCell ref="BB18:BN18"/>
    <mergeCell ref="BB19:BN19"/>
    <mergeCell ref="AX22:BA22"/>
    <mergeCell ref="AX23:BA23"/>
    <mergeCell ref="AX24:BA24"/>
    <mergeCell ref="AX19:BA19"/>
    <mergeCell ref="AX21:BA21"/>
    <mergeCell ref="BB20:BN20"/>
    <mergeCell ref="BB21:BN21"/>
    <mergeCell ref="BB23:BN23"/>
    <mergeCell ref="M18:AF18"/>
    <mergeCell ref="M19:AF19"/>
    <mergeCell ref="M17:AF17"/>
  </mergeCells>
  <pageMargins left="0.78740157480314965" right="0.39370078740157483" top="0.39370078740157483" bottom="0.39370078740157483" header="0.23622047244094491" footer="0.23622047244094491"/>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25">
        <v>1</v>
      </c>
      <c r="B1" s="224"/>
      <c r="C1" s="224"/>
      <c r="D1" s="224"/>
      <c r="E1" s="224">
        <v>2</v>
      </c>
      <c r="F1" s="224"/>
      <c r="G1" s="224"/>
      <c r="H1" s="224"/>
      <c r="I1" s="224">
        <v>3</v>
      </c>
      <c r="J1" s="224"/>
      <c r="K1" s="224"/>
      <c r="L1" s="224"/>
      <c r="M1" s="224">
        <v>4</v>
      </c>
      <c r="N1" s="224"/>
      <c r="O1" s="224"/>
      <c r="P1" s="224"/>
      <c r="Q1" s="224"/>
      <c r="R1" s="224"/>
      <c r="S1" s="224"/>
      <c r="T1" s="224"/>
      <c r="U1" s="224"/>
      <c r="V1" s="224"/>
      <c r="W1" s="224"/>
      <c r="X1" s="224"/>
      <c r="Y1" s="224"/>
      <c r="Z1" s="224"/>
      <c r="AA1" s="224"/>
      <c r="AB1" s="224"/>
      <c r="AC1" s="224"/>
      <c r="AD1" s="224"/>
      <c r="AE1" s="224"/>
      <c r="AF1" s="224"/>
      <c r="AG1" s="224">
        <v>5</v>
      </c>
      <c r="AH1" s="224"/>
      <c r="AI1" s="224"/>
      <c r="AJ1" s="224"/>
      <c r="AK1" s="224"/>
      <c r="AL1" s="224"/>
      <c r="AM1" s="224"/>
      <c r="AN1" s="224"/>
      <c r="AO1" s="224"/>
      <c r="AP1" s="224"/>
      <c r="AQ1" s="224"/>
      <c r="AR1" s="224"/>
      <c r="AS1" s="224"/>
      <c r="AT1" s="224"/>
      <c r="AU1" s="224"/>
      <c r="AV1" s="224"/>
      <c r="AW1" s="224"/>
      <c r="AX1" s="224">
        <v>6</v>
      </c>
      <c r="AY1" s="224"/>
      <c r="AZ1" s="224"/>
      <c r="BA1" s="224"/>
      <c r="BB1" s="224">
        <v>7</v>
      </c>
      <c r="BC1" s="224"/>
      <c r="BD1" s="224"/>
      <c r="BE1" s="224"/>
      <c r="BF1" s="224"/>
      <c r="BG1" s="224"/>
      <c r="BH1" s="224"/>
      <c r="BI1" s="224"/>
      <c r="BJ1" s="224"/>
      <c r="BK1" s="224"/>
      <c r="BL1" s="224"/>
      <c r="BM1" s="224"/>
      <c r="BN1" s="234"/>
      <c r="BO1" s="1"/>
    </row>
    <row r="2" spans="1:256" ht="18.75" customHeight="1" x14ac:dyDescent="0.2">
      <c r="A2" s="230" t="str">
        <f>Eingabe!A7</f>
        <v>Lfd. 
Nr.</v>
      </c>
      <c r="B2" s="228"/>
      <c r="C2" s="228"/>
      <c r="D2" s="228"/>
      <c r="E2" s="228" t="str">
        <f>Eingabe!B7</f>
        <v>Stück-
zahl</v>
      </c>
      <c r="F2" s="228"/>
      <c r="G2" s="228"/>
      <c r="H2" s="228"/>
      <c r="I2" s="228" t="str">
        <f>Eingabe!C7</f>
        <v>Ein-
heit</v>
      </c>
      <c r="J2" s="228"/>
      <c r="K2" s="228"/>
      <c r="L2" s="228"/>
      <c r="M2" s="235" t="str">
        <f>Eingabe!D7</f>
        <v>Benennung</v>
      </c>
      <c r="N2" s="235"/>
      <c r="O2" s="235"/>
      <c r="P2" s="235"/>
      <c r="Q2" s="235"/>
      <c r="R2" s="235"/>
      <c r="S2" s="235"/>
      <c r="T2" s="235"/>
      <c r="U2" s="235"/>
      <c r="V2" s="235"/>
      <c r="W2" s="235"/>
      <c r="X2" s="235"/>
      <c r="Y2" s="235"/>
      <c r="Z2" s="235"/>
      <c r="AA2" s="235"/>
      <c r="AB2" s="235"/>
      <c r="AC2" s="235"/>
      <c r="AD2" s="235"/>
      <c r="AE2" s="235"/>
      <c r="AF2" s="235"/>
      <c r="AG2" s="235" t="str">
        <f>Eingabe!F7&amp;" / "&amp;Eingabe!G7</f>
        <v>Lieferant / Bestellnummer</v>
      </c>
      <c r="AH2" s="235"/>
      <c r="AI2" s="235"/>
      <c r="AJ2" s="235"/>
      <c r="AK2" s="235"/>
      <c r="AL2" s="235"/>
      <c r="AM2" s="235"/>
      <c r="AN2" s="235"/>
      <c r="AO2" s="235"/>
      <c r="AP2" s="235"/>
      <c r="AQ2" s="235"/>
      <c r="AR2" s="235"/>
      <c r="AS2" s="235"/>
      <c r="AT2" s="235"/>
      <c r="AU2" s="235"/>
      <c r="AV2" s="235"/>
      <c r="AW2" s="235"/>
      <c r="AX2" s="239" t="str">
        <f>Eingabe!H7</f>
        <v>MCd</v>
      </c>
      <c r="AY2" s="240"/>
      <c r="AZ2" s="240"/>
      <c r="BA2" s="241"/>
      <c r="BB2" s="235" t="str">
        <f>Eingabe!K7</f>
        <v>Bemerkung</v>
      </c>
      <c r="BC2" s="235"/>
      <c r="BD2" s="235"/>
      <c r="BE2" s="235"/>
      <c r="BF2" s="235"/>
      <c r="BG2" s="235"/>
      <c r="BH2" s="235"/>
      <c r="BI2" s="235"/>
      <c r="BJ2" s="235"/>
      <c r="BK2" s="235"/>
      <c r="BL2" s="235"/>
      <c r="BM2" s="235"/>
      <c r="BN2" s="236"/>
      <c r="BO2" s="1"/>
    </row>
    <row r="3" spans="1:256" ht="18.75" customHeight="1" thickBot="1" x14ac:dyDescent="0.25">
      <c r="A3" s="231"/>
      <c r="B3" s="229"/>
      <c r="C3" s="229"/>
      <c r="D3" s="229"/>
      <c r="E3" s="229"/>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c r="AS3" s="229"/>
      <c r="AT3" s="229"/>
      <c r="AU3" s="229"/>
      <c r="AV3" s="229"/>
      <c r="AW3" s="229"/>
      <c r="AX3" s="242"/>
      <c r="AY3" s="243"/>
      <c r="AZ3" s="243"/>
      <c r="BA3" s="244"/>
      <c r="BB3" s="229"/>
      <c r="BC3" s="229"/>
      <c r="BD3" s="229"/>
      <c r="BE3" s="229"/>
      <c r="BF3" s="229"/>
      <c r="BG3" s="229"/>
      <c r="BH3" s="229"/>
      <c r="BI3" s="229"/>
      <c r="BJ3" s="229"/>
      <c r="BK3" s="229"/>
      <c r="BL3" s="229"/>
      <c r="BM3" s="229"/>
      <c r="BN3" s="237"/>
      <c r="BO3" s="1"/>
    </row>
    <row r="4" spans="1:256" s="8" customFormat="1" ht="25.5" customHeight="1" x14ac:dyDescent="0.2">
      <c r="A4" s="226" t="str">
        <f>IF(Eingabe!A33="","",Eingabe!A33)</f>
        <v/>
      </c>
      <c r="B4" s="227"/>
      <c r="C4" s="227"/>
      <c r="D4" s="227"/>
      <c r="E4" s="227" t="str">
        <f>IF(Eingabe!B33="","",Eingabe!B33)</f>
        <v/>
      </c>
      <c r="F4" s="227"/>
      <c r="G4" s="227"/>
      <c r="H4" s="227"/>
      <c r="I4" s="223" t="str">
        <f>IF(Eingabe!C33="","",Eingabe!C33)</f>
        <v/>
      </c>
      <c r="J4" s="223"/>
      <c r="K4" s="223"/>
      <c r="L4" s="223"/>
      <c r="M4" s="245" t="str">
        <f>IF(Eingabe!D33&amp;""&amp;Eingabe!E33="","",Eingabe!D33&amp;" 
"&amp;Eingabe!E33)</f>
        <v/>
      </c>
      <c r="N4" s="245"/>
      <c r="O4" s="245"/>
      <c r="P4" s="245"/>
      <c r="Q4" s="245"/>
      <c r="R4" s="245"/>
      <c r="S4" s="245"/>
      <c r="T4" s="245"/>
      <c r="U4" s="245"/>
      <c r="V4" s="245"/>
      <c r="W4" s="245"/>
      <c r="X4" s="245"/>
      <c r="Y4" s="245"/>
      <c r="Z4" s="245"/>
      <c r="AA4" s="245"/>
      <c r="AB4" s="245"/>
      <c r="AC4" s="245"/>
      <c r="AD4" s="245"/>
      <c r="AE4" s="245"/>
      <c r="AF4" s="245"/>
      <c r="AG4" s="223" t="str">
        <f>IF(Eingabe!F33&amp;""&amp;Eingabe!G33="","",Eingabe!F33&amp;" 
"&amp;Eingabe!G33)</f>
        <v/>
      </c>
      <c r="AH4" s="223"/>
      <c r="AI4" s="223"/>
      <c r="AJ4" s="223"/>
      <c r="AK4" s="223"/>
      <c r="AL4" s="223"/>
      <c r="AM4" s="223"/>
      <c r="AN4" s="223"/>
      <c r="AO4" s="223"/>
      <c r="AP4" s="223"/>
      <c r="AQ4" s="223"/>
      <c r="AR4" s="223"/>
      <c r="AS4" s="223"/>
      <c r="AT4" s="223"/>
      <c r="AU4" s="223"/>
      <c r="AV4" s="223"/>
      <c r="AW4" s="223"/>
      <c r="AX4" s="223" t="str">
        <f>IF(Eingabe!H33="","",Eingabe!H33)</f>
        <v/>
      </c>
      <c r="AY4" s="223"/>
      <c r="AZ4" s="223"/>
      <c r="BA4" s="223"/>
      <c r="BB4" s="223" t="str">
        <f>IF(Eingabe!K33="","",Eingabe!K33)</f>
        <v/>
      </c>
      <c r="BC4" s="223"/>
      <c r="BD4" s="223"/>
      <c r="BE4" s="223"/>
      <c r="BF4" s="223"/>
      <c r="BG4" s="223"/>
      <c r="BH4" s="223"/>
      <c r="BI4" s="223"/>
      <c r="BJ4" s="223"/>
      <c r="BK4" s="223"/>
      <c r="BL4" s="223"/>
      <c r="BM4" s="223"/>
      <c r="BN4" s="238"/>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22" t="str">
        <f>IF(Eingabe!A34="","",Eingabe!A34)</f>
        <v/>
      </c>
      <c r="B5" s="145"/>
      <c r="C5" s="145"/>
      <c r="D5" s="145"/>
      <c r="E5" s="145" t="str">
        <f>IF(Eingabe!B34="","",Eingabe!B34)</f>
        <v/>
      </c>
      <c r="F5" s="145"/>
      <c r="G5" s="145"/>
      <c r="H5" s="145"/>
      <c r="I5" s="137" t="str">
        <f>IF(Eingabe!C34="","",Eingabe!C34)</f>
        <v/>
      </c>
      <c r="J5" s="137"/>
      <c r="K5" s="137"/>
      <c r="L5" s="137"/>
      <c r="M5" s="232" t="str">
        <f>IF(Eingabe!D34&amp;""&amp;Eingabe!E34="","",Eingabe!D34&amp;" 
"&amp;Eingabe!E34)</f>
        <v/>
      </c>
      <c r="N5" s="232"/>
      <c r="O5" s="232"/>
      <c r="P5" s="232"/>
      <c r="Q5" s="232"/>
      <c r="R5" s="232"/>
      <c r="S5" s="232"/>
      <c r="T5" s="232"/>
      <c r="U5" s="232"/>
      <c r="V5" s="232"/>
      <c r="W5" s="232"/>
      <c r="X5" s="232"/>
      <c r="Y5" s="232"/>
      <c r="Z5" s="232"/>
      <c r="AA5" s="232"/>
      <c r="AB5" s="232"/>
      <c r="AC5" s="232"/>
      <c r="AD5" s="232"/>
      <c r="AE5" s="232"/>
      <c r="AF5" s="232"/>
      <c r="AG5" s="137" t="str">
        <f>IF(Eingabe!F34&amp;""&amp;Eingabe!G34="","",Eingabe!F34&amp;" 
"&amp;Eingabe!G34)</f>
        <v/>
      </c>
      <c r="AH5" s="137"/>
      <c r="AI5" s="137"/>
      <c r="AJ5" s="137"/>
      <c r="AK5" s="137"/>
      <c r="AL5" s="137"/>
      <c r="AM5" s="137"/>
      <c r="AN5" s="137"/>
      <c r="AO5" s="137"/>
      <c r="AP5" s="137"/>
      <c r="AQ5" s="137"/>
      <c r="AR5" s="137"/>
      <c r="AS5" s="137"/>
      <c r="AT5" s="137"/>
      <c r="AU5" s="137"/>
      <c r="AV5" s="137"/>
      <c r="AW5" s="137"/>
      <c r="AX5" s="137" t="str">
        <f>IF(Eingabe!H34="","",Eingabe!H34)</f>
        <v/>
      </c>
      <c r="AY5" s="137"/>
      <c r="AZ5" s="137"/>
      <c r="BA5" s="137"/>
      <c r="BB5" s="137" t="str">
        <f>IF(Eingabe!K34="","",Eingabe!K34)</f>
        <v/>
      </c>
      <c r="BC5" s="137"/>
      <c r="BD5" s="137"/>
      <c r="BE5" s="137"/>
      <c r="BF5" s="137"/>
      <c r="BG5" s="137"/>
      <c r="BH5" s="137"/>
      <c r="BI5" s="137"/>
      <c r="BJ5" s="137"/>
      <c r="BK5" s="137"/>
      <c r="BL5" s="137"/>
      <c r="BM5" s="137"/>
      <c r="BN5" s="138"/>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22" t="str">
        <f>IF(Eingabe!A35="","",Eingabe!A35)</f>
        <v/>
      </c>
      <c r="B6" s="145"/>
      <c r="C6" s="145"/>
      <c r="D6" s="145"/>
      <c r="E6" s="145" t="str">
        <f>IF(Eingabe!B35="","",Eingabe!B35)</f>
        <v/>
      </c>
      <c r="F6" s="145"/>
      <c r="G6" s="145"/>
      <c r="H6" s="145"/>
      <c r="I6" s="137" t="str">
        <f>IF(Eingabe!C35="","",Eingabe!C35)</f>
        <v/>
      </c>
      <c r="J6" s="137"/>
      <c r="K6" s="137"/>
      <c r="L6" s="137"/>
      <c r="M6" s="232" t="str">
        <f>IF(Eingabe!D35&amp;""&amp;Eingabe!E35="","",Eingabe!D35&amp;" 
"&amp;Eingabe!E35)</f>
        <v/>
      </c>
      <c r="N6" s="232"/>
      <c r="O6" s="232"/>
      <c r="P6" s="232"/>
      <c r="Q6" s="232"/>
      <c r="R6" s="232"/>
      <c r="S6" s="232"/>
      <c r="T6" s="232"/>
      <c r="U6" s="232"/>
      <c r="V6" s="232"/>
      <c r="W6" s="232"/>
      <c r="X6" s="232"/>
      <c r="Y6" s="232"/>
      <c r="Z6" s="232"/>
      <c r="AA6" s="232"/>
      <c r="AB6" s="232"/>
      <c r="AC6" s="232"/>
      <c r="AD6" s="232"/>
      <c r="AE6" s="232"/>
      <c r="AF6" s="232"/>
      <c r="AG6" s="137" t="str">
        <f>IF(Eingabe!F35&amp;""&amp;Eingabe!G35="","",Eingabe!F35&amp;" 
"&amp;Eingabe!G35)</f>
        <v/>
      </c>
      <c r="AH6" s="137"/>
      <c r="AI6" s="137"/>
      <c r="AJ6" s="137"/>
      <c r="AK6" s="137"/>
      <c r="AL6" s="137"/>
      <c r="AM6" s="137"/>
      <c r="AN6" s="137"/>
      <c r="AO6" s="137"/>
      <c r="AP6" s="137"/>
      <c r="AQ6" s="137"/>
      <c r="AR6" s="137"/>
      <c r="AS6" s="137"/>
      <c r="AT6" s="137"/>
      <c r="AU6" s="137"/>
      <c r="AV6" s="137"/>
      <c r="AW6" s="137"/>
      <c r="AX6" s="137" t="str">
        <f>IF(Eingabe!H35="","",Eingabe!H35)</f>
        <v/>
      </c>
      <c r="AY6" s="137"/>
      <c r="AZ6" s="137"/>
      <c r="BA6" s="137"/>
      <c r="BB6" s="137" t="str">
        <f>IF(Eingabe!K35="","",Eingabe!K35)</f>
        <v/>
      </c>
      <c r="BC6" s="137"/>
      <c r="BD6" s="137"/>
      <c r="BE6" s="137"/>
      <c r="BF6" s="137"/>
      <c r="BG6" s="137"/>
      <c r="BH6" s="137"/>
      <c r="BI6" s="137"/>
      <c r="BJ6" s="137"/>
      <c r="BK6" s="137"/>
      <c r="BL6" s="137"/>
      <c r="BM6" s="137"/>
      <c r="BN6" s="138"/>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22" t="str">
        <f>IF(Eingabe!A36="","",Eingabe!A36)</f>
        <v/>
      </c>
      <c r="B7" s="145"/>
      <c r="C7" s="145"/>
      <c r="D7" s="145"/>
      <c r="E7" s="145" t="str">
        <f>IF(Eingabe!B36="","",Eingabe!B36)</f>
        <v/>
      </c>
      <c r="F7" s="145"/>
      <c r="G7" s="145"/>
      <c r="H7" s="145"/>
      <c r="I7" s="137" t="str">
        <f>IF(Eingabe!C36="","",Eingabe!C36)</f>
        <v/>
      </c>
      <c r="J7" s="137"/>
      <c r="K7" s="137"/>
      <c r="L7" s="137"/>
      <c r="M7" s="232" t="str">
        <f>IF(Eingabe!D36&amp;""&amp;Eingabe!E36="","",Eingabe!D36&amp;" 
"&amp;Eingabe!E36)</f>
        <v/>
      </c>
      <c r="N7" s="232"/>
      <c r="O7" s="232"/>
      <c r="P7" s="232"/>
      <c r="Q7" s="232"/>
      <c r="R7" s="232"/>
      <c r="S7" s="232"/>
      <c r="T7" s="232"/>
      <c r="U7" s="232"/>
      <c r="V7" s="232"/>
      <c r="W7" s="232"/>
      <c r="X7" s="232"/>
      <c r="Y7" s="232"/>
      <c r="Z7" s="232"/>
      <c r="AA7" s="232"/>
      <c r="AB7" s="232"/>
      <c r="AC7" s="232"/>
      <c r="AD7" s="232"/>
      <c r="AE7" s="232"/>
      <c r="AF7" s="232"/>
      <c r="AG7" s="137" t="str">
        <f>IF(Eingabe!F36&amp;""&amp;Eingabe!G36="","",Eingabe!F36&amp;" 
"&amp;Eingabe!G36)</f>
        <v/>
      </c>
      <c r="AH7" s="137"/>
      <c r="AI7" s="137"/>
      <c r="AJ7" s="137"/>
      <c r="AK7" s="137"/>
      <c r="AL7" s="137"/>
      <c r="AM7" s="137"/>
      <c r="AN7" s="137"/>
      <c r="AO7" s="137"/>
      <c r="AP7" s="137"/>
      <c r="AQ7" s="137"/>
      <c r="AR7" s="137"/>
      <c r="AS7" s="137"/>
      <c r="AT7" s="137"/>
      <c r="AU7" s="137"/>
      <c r="AV7" s="137"/>
      <c r="AW7" s="137"/>
      <c r="AX7" s="137" t="str">
        <f>IF(Eingabe!H36="","",Eingabe!H36)</f>
        <v/>
      </c>
      <c r="AY7" s="137"/>
      <c r="AZ7" s="137"/>
      <c r="BA7" s="137"/>
      <c r="BB7" s="137" t="str">
        <f>IF(Eingabe!K36="","",Eingabe!K36)</f>
        <v/>
      </c>
      <c r="BC7" s="137"/>
      <c r="BD7" s="137"/>
      <c r="BE7" s="137"/>
      <c r="BF7" s="137"/>
      <c r="BG7" s="137"/>
      <c r="BH7" s="137"/>
      <c r="BI7" s="137"/>
      <c r="BJ7" s="137"/>
      <c r="BK7" s="137"/>
      <c r="BL7" s="137"/>
      <c r="BM7" s="137"/>
      <c r="BN7" s="138"/>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22" t="str">
        <f>IF(Eingabe!A37="","",Eingabe!A37)</f>
        <v/>
      </c>
      <c r="B8" s="145"/>
      <c r="C8" s="145"/>
      <c r="D8" s="145"/>
      <c r="E8" s="145" t="str">
        <f>IF(Eingabe!B37="","",Eingabe!B37)</f>
        <v/>
      </c>
      <c r="F8" s="145"/>
      <c r="G8" s="145"/>
      <c r="H8" s="145"/>
      <c r="I8" s="137" t="str">
        <f>IF(Eingabe!C37="","",Eingabe!C37)</f>
        <v/>
      </c>
      <c r="J8" s="137"/>
      <c r="K8" s="137"/>
      <c r="L8" s="137"/>
      <c r="M8" s="232" t="str">
        <f>IF(Eingabe!D37&amp;""&amp;Eingabe!E37="","",Eingabe!D37&amp;" 
"&amp;Eingabe!E37)</f>
        <v/>
      </c>
      <c r="N8" s="232"/>
      <c r="O8" s="232"/>
      <c r="P8" s="232"/>
      <c r="Q8" s="232"/>
      <c r="R8" s="232"/>
      <c r="S8" s="232"/>
      <c r="T8" s="232"/>
      <c r="U8" s="232"/>
      <c r="V8" s="232"/>
      <c r="W8" s="232"/>
      <c r="X8" s="232"/>
      <c r="Y8" s="232"/>
      <c r="Z8" s="232"/>
      <c r="AA8" s="232"/>
      <c r="AB8" s="232"/>
      <c r="AC8" s="232"/>
      <c r="AD8" s="232"/>
      <c r="AE8" s="232"/>
      <c r="AF8" s="232"/>
      <c r="AG8" s="137" t="str">
        <f>IF(Eingabe!F37&amp;""&amp;Eingabe!G37="","",Eingabe!F37&amp;" 
"&amp;Eingabe!G37)</f>
        <v/>
      </c>
      <c r="AH8" s="137"/>
      <c r="AI8" s="137"/>
      <c r="AJ8" s="137"/>
      <c r="AK8" s="137"/>
      <c r="AL8" s="137"/>
      <c r="AM8" s="137"/>
      <c r="AN8" s="137"/>
      <c r="AO8" s="137"/>
      <c r="AP8" s="137"/>
      <c r="AQ8" s="137"/>
      <c r="AR8" s="137"/>
      <c r="AS8" s="137"/>
      <c r="AT8" s="137"/>
      <c r="AU8" s="137"/>
      <c r="AV8" s="137"/>
      <c r="AW8" s="137"/>
      <c r="AX8" s="137" t="str">
        <f>IF(Eingabe!H37="","",Eingabe!H37)</f>
        <v/>
      </c>
      <c r="AY8" s="137"/>
      <c r="AZ8" s="137"/>
      <c r="BA8" s="137"/>
      <c r="BB8" s="137" t="str">
        <f>IF(Eingabe!K37="","",Eingabe!K37)</f>
        <v/>
      </c>
      <c r="BC8" s="137"/>
      <c r="BD8" s="137"/>
      <c r="BE8" s="137"/>
      <c r="BF8" s="137"/>
      <c r="BG8" s="137"/>
      <c r="BH8" s="137"/>
      <c r="BI8" s="137"/>
      <c r="BJ8" s="137"/>
      <c r="BK8" s="137"/>
      <c r="BL8" s="137"/>
      <c r="BM8" s="137"/>
      <c r="BN8" s="138"/>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22" t="str">
        <f>IF(Eingabe!A38="","",Eingabe!A38)</f>
        <v/>
      </c>
      <c r="B9" s="145"/>
      <c r="C9" s="145"/>
      <c r="D9" s="145"/>
      <c r="E9" s="145" t="str">
        <f>IF(Eingabe!B38="","",Eingabe!B38)</f>
        <v/>
      </c>
      <c r="F9" s="145"/>
      <c r="G9" s="145"/>
      <c r="H9" s="145"/>
      <c r="I9" s="137" t="str">
        <f>IF(Eingabe!C38="","",Eingabe!C38)</f>
        <v/>
      </c>
      <c r="J9" s="137"/>
      <c r="K9" s="137"/>
      <c r="L9" s="137"/>
      <c r="M9" s="232" t="str">
        <f>IF(Eingabe!D38&amp;""&amp;Eingabe!E38="","",Eingabe!D38&amp;" 
"&amp;Eingabe!E38)</f>
        <v/>
      </c>
      <c r="N9" s="232"/>
      <c r="O9" s="232"/>
      <c r="P9" s="232"/>
      <c r="Q9" s="232"/>
      <c r="R9" s="232"/>
      <c r="S9" s="232"/>
      <c r="T9" s="232"/>
      <c r="U9" s="232"/>
      <c r="V9" s="232"/>
      <c r="W9" s="232"/>
      <c r="X9" s="232"/>
      <c r="Y9" s="232"/>
      <c r="Z9" s="232"/>
      <c r="AA9" s="232"/>
      <c r="AB9" s="232"/>
      <c r="AC9" s="232"/>
      <c r="AD9" s="232"/>
      <c r="AE9" s="232"/>
      <c r="AF9" s="232"/>
      <c r="AG9" s="137" t="str">
        <f>IF(Eingabe!F38&amp;""&amp;Eingabe!G38="","",Eingabe!F38&amp;" 
"&amp;Eingabe!G38)</f>
        <v/>
      </c>
      <c r="AH9" s="137"/>
      <c r="AI9" s="137"/>
      <c r="AJ9" s="137"/>
      <c r="AK9" s="137"/>
      <c r="AL9" s="137"/>
      <c r="AM9" s="137"/>
      <c r="AN9" s="137"/>
      <c r="AO9" s="137"/>
      <c r="AP9" s="137"/>
      <c r="AQ9" s="137"/>
      <c r="AR9" s="137"/>
      <c r="AS9" s="137"/>
      <c r="AT9" s="137"/>
      <c r="AU9" s="137"/>
      <c r="AV9" s="137"/>
      <c r="AW9" s="137"/>
      <c r="AX9" s="137" t="str">
        <f>IF(Eingabe!H38="","",Eingabe!H38)</f>
        <v/>
      </c>
      <c r="AY9" s="137"/>
      <c r="AZ9" s="137"/>
      <c r="BA9" s="137"/>
      <c r="BB9" s="137" t="str">
        <f>IF(Eingabe!K38="","",Eingabe!K38)</f>
        <v/>
      </c>
      <c r="BC9" s="137"/>
      <c r="BD9" s="137"/>
      <c r="BE9" s="137"/>
      <c r="BF9" s="137"/>
      <c r="BG9" s="137"/>
      <c r="BH9" s="137"/>
      <c r="BI9" s="137"/>
      <c r="BJ9" s="137"/>
      <c r="BK9" s="137"/>
      <c r="BL9" s="137"/>
      <c r="BM9" s="137"/>
      <c r="BN9" s="138"/>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22" t="str">
        <f>IF(Eingabe!A39="","",Eingabe!A39)</f>
        <v/>
      </c>
      <c r="B10" s="145"/>
      <c r="C10" s="145"/>
      <c r="D10" s="145"/>
      <c r="E10" s="145" t="str">
        <f>IF(Eingabe!B39="","",Eingabe!B39)</f>
        <v/>
      </c>
      <c r="F10" s="145"/>
      <c r="G10" s="145"/>
      <c r="H10" s="145"/>
      <c r="I10" s="137" t="str">
        <f>IF(Eingabe!C39="","",Eingabe!C39)</f>
        <v/>
      </c>
      <c r="J10" s="137"/>
      <c r="K10" s="137"/>
      <c r="L10" s="137"/>
      <c r="M10" s="232" t="str">
        <f>IF(Eingabe!D39&amp;""&amp;Eingabe!E39="","",Eingabe!D39&amp;" 
"&amp;Eingabe!E39)</f>
        <v/>
      </c>
      <c r="N10" s="232"/>
      <c r="O10" s="232"/>
      <c r="P10" s="232"/>
      <c r="Q10" s="232"/>
      <c r="R10" s="232"/>
      <c r="S10" s="232"/>
      <c r="T10" s="232"/>
      <c r="U10" s="232"/>
      <c r="V10" s="232"/>
      <c r="W10" s="232"/>
      <c r="X10" s="232"/>
      <c r="Y10" s="232"/>
      <c r="Z10" s="232"/>
      <c r="AA10" s="232"/>
      <c r="AB10" s="232"/>
      <c r="AC10" s="232"/>
      <c r="AD10" s="232"/>
      <c r="AE10" s="232"/>
      <c r="AF10" s="232"/>
      <c r="AG10" s="137" t="str">
        <f>IF(Eingabe!F39&amp;""&amp;Eingabe!G39="","",Eingabe!F39&amp;" 
"&amp;Eingabe!G39)</f>
        <v/>
      </c>
      <c r="AH10" s="137"/>
      <c r="AI10" s="137"/>
      <c r="AJ10" s="137"/>
      <c r="AK10" s="137"/>
      <c r="AL10" s="137"/>
      <c r="AM10" s="137"/>
      <c r="AN10" s="137"/>
      <c r="AO10" s="137"/>
      <c r="AP10" s="137"/>
      <c r="AQ10" s="137"/>
      <c r="AR10" s="137"/>
      <c r="AS10" s="137"/>
      <c r="AT10" s="137"/>
      <c r="AU10" s="137"/>
      <c r="AV10" s="137"/>
      <c r="AW10" s="137"/>
      <c r="AX10" s="137" t="str">
        <f>IF(Eingabe!H39="","",Eingabe!H39)</f>
        <v/>
      </c>
      <c r="AY10" s="137"/>
      <c r="AZ10" s="137"/>
      <c r="BA10" s="137"/>
      <c r="BB10" s="137" t="str">
        <f>IF(Eingabe!K39="","",Eingabe!K39)</f>
        <v/>
      </c>
      <c r="BC10" s="137"/>
      <c r="BD10" s="137"/>
      <c r="BE10" s="137"/>
      <c r="BF10" s="137"/>
      <c r="BG10" s="137"/>
      <c r="BH10" s="137"/>
      <c r="BI10" s="137"/>
      <c r="BJ10" s="137"/>
      <c r="BK10" s="137"/>
      <c r="BL10" s="137"/>
      <c r="BM10" s="137"/>
      <c r="BN10" s="138"/>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22" t="str">
        <f>IF(Eingabe!A40="","",Eingabe!A40)</f>
        <v/>
      </c>
      <c r="B11" s="145"/>
      <c r="C11" s="145"/>
      <c r="D11" s="145"/>
      <c r="E11" s="145" t="str">
        <f>IF(Eingabe!B40="","",Eingabe!B40)</f>
        <v/>
      </c>
      <c r="F11" s="145"/>
      <c r="G11" s="145"/>
      <c r="H11" s="145"/>
      <c r="I11" s="137" t="str">
        <f>IF(Eingabe!C40="","",Eingabe!C40)</f>
        <v/>
      </c>
      <c r="J11" s="137"/>
      <c r="K11" s="137"/>
      <c r="L11" s="137"/>
      <c r="M11" s="232" t="str">
        <f>IF(Eingabe!D40&amp;""&amp;Eingabe!E40="","",Eingabe!D40&amp;" 
"&amp;Eingabe!E40)</f>
        <v/>
      </c>
      <c r="N11" s="232"/>
      <c r="O11" s="232"/>
      <c r="P11" s="232"/>
      <c r="Q11" s="232"/>
      <c r="R11" s="232"/>
      <c r="S11" s="232"/>
      <c r="T11" s="232"/>
      <c r="U11" s="232"/>
      <c r="V11" s="232"/>
      <c r="W11" s="232"/>
      <c r="X11" s="232"/>
      <c r="Y11" s="232"/>
      <c r="Z11" s="232"/>
      <c r="AA11" s="232"/>
      <c r="AB11" s="232"/>
      <c r="AC11" s="232"/>
      <c r="AD11" s="232"/>
      <c r="AE11" s="232"/>
      <c r="AF11" s="232"/>
      <c r="AG11" s="137" t="str">
        <f>IF(Eingabe!F40&amp;""&amp;Eingabe!G40="","",Eingabe!F40&amp;" 
"&amp;Eingabe!G40)</f>
        <v/>
      </c>
      <c r="AH11" s="137"/>
      <c r="AI11" s="137"/>
      <c r="AJ11" s="137"/>
      <c r="AK11" s="137"/>
      <c r="AL11" s="137"/>
      <c r="AM11" s="137"/>
      <c r="AN11" s="137"/>
      <c r="AO11" s="137"/>
      <c r="AP11" s="137"/>
      <c r="AQ11" s="137"/>
      <c r="AR11" s="137"/>
      <c r="AS11" s="137"/>
      <c r="AT11" s="137"/>
      <c r="AU11" s="137"/>
      <c r="AV11" s="137"/>
      <c r="AW11" s="137"/>
      <c r="AX11" s="137" t="str">
        <f>IF(Eingabe!H40="","",Eingabe!H40)</f>
        <v/>
      </c>
      <c r="AY11" s="137"/>
      <c r="AZ11" s="137"/>
      <c r="BA11" s="137"/>
      <c r="BB11" s="137" t="str">
        <f>IF(Eingabe!K40="","",Eingabe!K40)</f>
        <v/>
      </c>
      <c r="BC11" s="137"/>
      <c r="BD11" s="137"/>
      <c r="BE11" s="137"/>
      <c r="BF11" s="137"/>
      <c r="BG11" s="137"/>
      <c r="BH11" s="137"/>
      <c r="BI11" s="137"/>
      <c r="BJ11" s="137"/>
      <c r="BK11" s="137"/>
      <c r="BL11" s="137"/>
      <c r="BM11" s="137"/>
      <c r="BN11" s="138"/>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22" t="str">
        <f>IF(Eingabe!A41="","",Eingabe!A41)</f>
        <v/>
      </c>
      <c r="B12" s="145"/>
      <c r="C12" s="145"/>
      <c r="D12" s="145"/>
      <c r="E12" s="145" t="str">
        <f>IF(Eingabe!B41="","",Eingabe!B41)</f>
        <v/>
      </c>
      <c r="F12" s="145"/>
      <c r="G12" s="145"/>
      <c r="H12" s="145"/>
      <c r="I12" s="137" t="str">
        <f>IF(Eingabe!C41="","",Eingabe!C41)</f>
        <v/>
      </c>
      <c r="J12" s="137"/>
      <c r="K12" s="137"/>
      <c r="L12" s="137"/>
      <c r="M12" s="232" t="str">
        <f>IF(Eingabe!D41&amp;""&amp;Eingabe!E41="","",Eingabe!D41&amp;" 
"&amp;Eingabe!E41)</f>
        <v/>
      </c>
      <c r="N12" s="232"/>
      <c r="O12" s="232"/>
      <c r="P12" s="232"/>
      <c r="Q12" s="232"/>
      <c r="R12" s="232"/>
      <c r="S12" s="232"/>
      <c r="T12" s="232"/>
      <c r="U12" s="232"/>
      <c r="V12" s="232"/>
      <c r="W12" s="232"/>
      <c r="X12" s="232"/>
      <c r="Y12" s="232"/>
      <c r="Z12" s="232"/>
      <c r="AA12" s="232"/>
      <c r="AB12" s="232"/>
      <c r="AC12" s="232"/>
      <c r="AD12" s="232"/>
      <c r="AE12" s="232"/>
      <c r="AF12" s="232"/>
      <c r="AG12" s="137" t="str">
        <f>IF(Eingabe!F41&amp;""&amp;Eingabe!G41="","",Eingabe!F41&amp;" 
"&amp;Eingabe!G41)</f>
        <v/>
      </c>
      <c r="AH12" s="137"/>
      <c r="AI12" s="137"/>
      <c r="AJ12" s="137"/>
      <c r="AK12" s="137"/>
      <c r="AL12" s="137"/>
      <c r="AM12" s="137"/>
      <c r="AN12" s="137"/>
      <c r="AO12" s="137"/>
      <c r="AP12" s="137"/>
      <c r="AQ12" s="137"/>
      <c r="AR12" s="137"/>
      <c r="AS12" s="137"/>
      <c r="AT12" s="137"/>
      <c r="AU12" s="137"/>
      <c r="AV12" s="137"/>
      <c r="AW12" s="137"/>
      <c r="AX12" s="137" t="str">
        <f>IF(Eingabe!H41="","",Eingabe!H41)</f>
        <v/>
      </c>
      <c r="AY12" s="137"/>
      <c r="AZ12" s="137"/>
      <c r="BA12" s="137"/>
      <c r="BB12" s="137" t="str">
        <f>IF(Eingabe!K41="","",Eingabe!K41)</f>
        <v/>
      </c>
      <c r="BC12" s="137"/>
      <c r="BD12" s="137"/>
      <c r="BE12" s="137"/>
      <c r="BF12" s="137"/>
      <c r="BG12" s="137"/>
      <c r="BH12" s="137"/>
      <c r="BI12" s="137"/>
      <c r="BJ12" s="137"/>
      <c r="BK12" s="137"/>
      <c r="BL12" s="137"/>
      <c r="BM12" s="137"/>
      <c r="BN12" s="138"/>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22" t="str">
        <f>IF(Eingabe!A42="","",Eingabe!A42)</f>
        <v/>
      </c>
      <c r="B13" s="145"/>
      <c r="C13" s="145"/>
      <c r="D13" s="145"/>
      <c r="E13" s="145" t="str">
        <f>IF(Eingabe!B42="","",Eingabe!B42)</f>
        <v/>
      </c>
      <c r="F13" s="145"/>
      <c r="G13" s="145"/>
      <c r="H13" s="145"/>
      <c r="I13" s="137" t="str">
        <f>IF(Eingabe!C42="","",Eingabe!C42)</f>
        <v/>
      </c>
      <c r="J13" s="137"/>
      <c r="K13" s="137"/>
      <c r="L13" s="137"/>
      <c r="M13" s="232" t="str">
        <f>IF(Eingabe!D42&amp;""&amp;Eingabe!E42="","",Eingabe!D42&amp;" 
"&amp;Eingabe!E42)</f>
        <v/>
      </c>
      <c r="N13" s="232"/>
      <c r="O13" s="232"/>
      <c r="P13" s="232"/>
      <c r="Q13" s="232"/>
      <c r="R13" s="232"/>
      <c r="S13" s="232"/>
      <c r="T13" s="232"/>
      <c r="U13" s="232"/>
      <c r="V13" s="232"/>
      <c r="W13" s="232"/>
      <c r="X13" s="232"/>
      <c r="Y13" s="232"/>
      <c r="Z13" s="232"/>
      <c r="AA13" s="232"/>
      <c r="AB13" s="232"/>
      <c r="AC13" s="232"/>
      <c r="AD13" s="232"/>
      <c r="AE13" s="232"/>
      <c r="AF13" s="232"/>
      <c r="AG13" s="137" t="str">
        <f>IF(Eingabe!F42&amp;""&amp;Eingabe!G42="","",Eingabe!F42&amp;" 
"&amp;Eingabe!G42)</f>
        <v/>
      </c>
      <c r="AH13" s="137"/>
      <c r="AI13" s="137"/>
      <c r="AJ13" s="137"/>
      <c r="AK13" s="137"/>
      <c r="AL13" s="137"/>
      <c r="AM13" s="137"/>
      <c r="AN13" s="137"/>
      <c r="AO13" s="137"/>
      <c r="AP13" s="137"/>
      <c r="AQ13" s="137"/>
      <c r="AR13" s="137"/>
      <c r="AS13" s="137"/>
      <c r="AT13" s="137"/>
      <c r="AU13" s="137"/>
      <c r="AV13" s="137"/>
      <c r="AW13" s="137"/>
      <c r="AX13" s="137" t="str">
        <f>IF(Eingabe!H42="","",Eingabe!H42)</f>
        <v/>
      </c>
      <c r="AY13" s="137"/>
      <c r="AZ13" s="137"/>
      <c r="BA13" s="137"/>
      <c r="BB13" s="137" t="str">
        <f>IF(Eingabe!K42="","",Eingabe!K42)</f>
        <v/>
      </c>
      <c r="BC13" s="137"/>
      <c r="BD13" s="137"/>
      <c r="BE13" s="137"/>
      <c r="BF13" s="137"/>
      <c r="BG13" s="137"/>
      <c r="BH13" s="137"/>
      <c r="BI13" s="137"/>
      <c r="BJ13" s="137"/>
      <c r="BK13" s="137"/>
      <c r="BL13" s="137"/>
      <c r="BM13" s="137"/>
      <c r="BN13" s="138"/>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22" t="str">
        <f>IF(Eingabe!A43="","",Eingabe!A43)</f>
        <v/>
      </c>
      <c r="B14" s="145"/>
      <c r="C14" s="145"/>
      <c r="D14" s="145"/>
      <c r="E14" s="145" t="str">
        <f>IF(Eingabe!B43="","",Eingabe!B43)</f>
        <v/>
      </c>
      <c r="F14" s="145"/>
      <c r="G14" s="145"/>
      <c r="H14" s="145"/>
      <c r="I14" s="137" t="str">
        <f>IF(Eingabe!C43="","",Eingabe!C43)</f>
        <v/>
      </c>
      <c r="J14" s="137"/>
      <c r="K14" s="137"/>
      <c r="L14" s="137"/>
      <c r="M14" s="232" t="str">
        <f>IF(Eingabe!D43&amp;""&amp;Eingabe!E43="","",Eingabe!D43&amp;" 
"&amp;Eingabe!E43)</f>
        <v/>
      </c>
      <c r="N14" s="232"/>
      <c r="O14" s="232"/>
      <c r="P14" s="232"/>
      <c r="Q14" s="232"/>
      <c r="R14" s="232"/>
      <c r="S14" s="232"/>
      <c r="T14" s="232"/>
      <c r="U14" s="232"/>
      <c r="V14" s="232"/>
      <c r="W14" s="232"/>
      <c r="X14" s="232"/>
      <c r="Y14" s="232"/>
      <c r="Z14" s="232"/>
      <c r="AA14" s="232"/>
      <c r="AB14" s="232"/>
      <c r="AC14" s="232"/>
      <c r="AD14" s="232"/>
      <c r="AE14" s="232"/>
      <c r="AF14" s="232"/>
      <c r="AG14" s="137" t="str">
        <f>IF(Eingabe!F43&amp;""&amp;Eingabe!G43="","",Eingabe!F43&amp;" 
"&amp;Eingabe!G43)</f>
        <v/>
      </c>
      <c r="AH14" s="137"/>
      <c r="AI14" s="137"/>
      <c r="AJ14" s="137"/>
      <c r="AK14" s="137"/>
      <c r="AL14" s="137"/>
      <c r="AM14" s="137"/>
      <c r="AN14" s="137"/>
      <c r="AO14" s="137"/>
      <c r="AP14" s="137"/>
      <c r="AQ14" s="137"/>
      <c r="AR14" s="137"/>
      <c r="AS14" s="137"/>
      <c r="AT14" s="137"/>
      <c r="AU14" s="137"/>
      <c r="AV14" s="137"/>
      <c r="AW14" s="137"/>
      <c r="AX14" s="137" t="str">
        <f>IF(Eingabe!H43="","",Eingabe!H43)</f>
        <v/>
      </c>
      <c r="AY14" s="137"/>
      <c r="AZ14" s="137"/>
      <c r="BA14" s="137"/>
      <c r="BB14" s="137" t="str">
        <f>IF(Eingabe!K43="","",Eingabe!K43)</f>
        <v/>
      </c>
      <c r="BC14" s="137"/>
      <c r="BD14" s="137"/>
      <c r="BE14" s="137"/>
      <c r="BF14" s="137"/>
      <c r="BG14" s="137"/>
      <c r="BH14" s="137"/>
      <c r="BI14" s="137"/>
      <c r="BJ14" s="137"/>
      <c r="BK14" s="137"/>
      <c r="BL14" s="137"/>
      <c r="BM14" s="137"/>
      <c r="BN14" s="138"/>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22" t="str">
        <f>IF(Eingabe!A44="","",Eingabe!A44)</f>
        <v/>
      </c>
      <c r="B15" s="145"/>
      <c r="C15" s="145"/>
      <c r="D15" s="145"/>
      <c r="E15" s="145" t="str">
        <f>IF(Eingabe!B44="","",Eingabe!B44)</f>
        <v/>
      </c>
      <c r="F15" s="145"/>
      <c r="G15" s="145"/>
      <c r="H15" s="145"/>
      <c r="I15" s="137" t="str">
        <f>IF(Eingabe!C44="","",Eingabe!C44)</f>
        <v/>
      </c>
      <c r="J15" s="137"/>
      <c r="K15" s="137"/>
      <c r="L15" s="137"/>
      <c r="M15" s="232" t="str">
        <f>IF(Eingabe!D44&amp;""&amp;Eingabe!E44="","",Eingabe!D44&amp;" 
"&amp;Eingabe!E44)</f>
        <v/>
      </c>
      <c r="N15" s="232"/>
      <c r="O15" s="232"/>
      <c r="P15" s="232"/>
      <c r="Q15" s="232"/>
      <c r="R15" s="232"/>
      <c r="S15" s="232"/>
      <c r="T15" s="232"/>
      <c r="U15" s="232"/>
      <c r="V15" s="232"/>
      <c r="W15" s="232"/>
      <c r="X15" s="232"/>
      <c r="Y15" s="232"/>
      <c r="Z15" s="232"/>
      <c r="AA15" s="232"/>
      <c r="AB15" s="232"/>
      <c r="AC15" s="232"/>
      <c r="AD15" s="232"/>
      <c r="AE15" s="232"/>
      <c r="AF15" s="232"/>
      <c r="AG15" s="137" t="str">
        <f>IF(Eingabe!F44&amp;""&amp;Eingabe!G44="","",Eingabe!F44&amp;" 
"&amp;Eingabe!G44)</f>
        <v/>
      </c>
      <c r="AH15" s="137"/>
      <c r="AI15" s="137"/>
      <c r="AJ15" s="137"/>
      <c r="AK15" s="137"/>
      <c r="AL15" s="137"/>
      <c r="AM15" s="137"/>
      <c r="AN15" s="137"/>
      <c r="AO15" s="137"/>
      <c r="AP15" s="137"/>
      <c r="AQ15" s="137"/>
      <c r="AR15" s="137"/>
      <c r="AS15" s="137"/>
      <c r="AT15" s="137"/>
      <c r="AU15" s="137"/>
      <c r="AV15" s="137"/>
      <c r="AW15" s="137"/>
      <c r="AX15" s="137" t="str">
        <f>IF(Eingabe!H44="","",Eingabe!H44)</f>
        <v/>
      </c>
      <c r="AY15" s="137"/>
      <c r="AZ15" s="137"/>
      <c r="BA15" s="137"/>
      <c r="BB15" s="137" t="str">
        <f>IF(Eingabe!K44="","",Eingabe!K44)</f>
        <v/>
      </c>
      <c r="BC15" s="137"/>
      <c r="BD15" s="137"/>
      <c r="BE15" s="137"/>
      <c r="BF15" s="137"/>
      <c r="BG15" s="137"/>
      <c r="BH15" s="137"/>
      <c r="BI15" s="137"/>
      <c r="BJ15" s="137"/>
      <c r="BK15" s="137"/>
      <c r="BL15" s="137"/>
      <c r="BM15" s="137"/>
      <c r="BN15" s="138"/>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22" t="str">
        <f>IF(Eingabe!A45="","",Eingabe!A45)</f>
        <v/>
      </c>
      <c r="B16" s="145"/>
      <c r="C16" s="145"/>
      <c r="D16" s="145"/>
      <c r="E16" s="145" t="str">
        <f>IF(Eingabe!B45="","",Eingabe!B45)</f>
        <v/>
      </c>
      <c r="F16" s="145"/>
      <c r="G16" s="145"/>
      <c r="H16" s="145"/>
      <c r="I16" s="137" t="str">
        <f>IF(Eingabe!C45="","",Eingabe!C45)</f>
        <v/>
      </c>
      <c r="J16" s="137"/>
      <c r="K16" s="137"/>
      <c r="L16" s="137"/>
      <c r="M16" s="232" t="str">
        <f>IF(Eingabe!D45&amp;""&amp;Eingabe!E45="","",Eingabe!D45&amp;" 
"&amp;Eingabe!E45)</f>
        <v/>
      </c>
      <c r="N16" s="232"/>
      <c r="O16" s="232"/>
      <c r="P16" s="232"/>
      <c r="Q16" s="232"/>
      <c r="R16" s="232"/>
      <c r="S16" s="232"/>
      <c r="T16" s="232"/>
      <c r="U16" s="232"/>
      <c r="V16" s="232"/>
      <c r="W16" s="232"/>
      <c r="X16" s="232"/>
      <c r="Y16" s="232"/>
      <c r="Z16" s="232"/>
      <c r="AA16" s="232"/>
      <c r="AB16" s="232"/>
      <c r="AC16" s="232"/>
      <c r="AD16" s="232"/>
      <c r="AE16" s="232"/>
      <c r="AF16" s="232"/>
      <c r="AG16" s="137" t="str">
        <f>IF(Eingabe!F45&amp;""&amp;Eingabe!G45="","",Eingabe!F45&amp;" 
"&amp;Eingabe!G45)</f>
        <v/>
      </c>
      <c r="AH16" s="137"/>
      <c r="AI16" s="137"/>
      <c r="AJ16" s="137"/>
      <c r="AK16" s="137"/>
      <c r="AL16" s="137"/>
      <c r="AM16" s="137"/>
      <c r="AN16" s="137"/>
      <c r="AO16" s="137"/>
      <c r="AP16" s="137"/>
      <c r="AQ16" s="137"/>
      <c r="AR16" s="137"/>
      <c r="AS16" s="137"/>
      <c r="AT16" s="137"/>
      <c r="AU16" s="137"/>
      <c r="AV16" s="137"/>
      <c r="AW16" s="137"/>
      <c r="AX16" s="137" t="str">
        <f>IF(Eingabe!H45="","",Eingabe!H45)</f>
        <v/>
      </c>
      <c r="AY16" s="137"/>
      <c r="AZ16" s="137"/>
      <c r="BA16" s="137"/>
      <c r="BB16" s="137" t="str">
        <f>IF(Eingabe!K45="","",Eingabe!K45)</f>
        <v/>
      </c>
      <c r="BC16" s="137"/>
      <c r="BD16" s="137"/>
      <c r="BE16" s="137"/>
      <c r="BF16" s="137"/>
      <c r="BG16" s="137"/>
      <c r="BH16" s="137"/>
      <c r="BI16" s="137"/>
      <c r="BJ16" s="137"/>
      <c r="BK16" s="137"/>
      <c r="BL16" s="137"/>
      <c r="BM16" s="137"/>
      <c r="BN16" s="138"/>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22" t="str">
        <f>IF(Eingabe!A46="","",Eingabe!A46)</f>
        <v/>
      </c>
      <c r="B17" s="145"/>
      <c r="C17" s="145"/>
      <c r="D17" s="145"/>
      <c r="E17" s="145" t="str">
        <f>IF(Eingabe!B46="","",Eingabe!B46)</f>
        <v/>
      </c>
      <c r="F17" s="145"/>
      <c r="G17" s="145"/>
      <c r="H17" s="145"/>
      <c r="I17" s="137" t="str">
        <f>IF(Eingabe!C46="","",Eingabe!C46)</f>
        <v/>
      </c>
      <c r="J17" s="137"/>
      <c r="K17" s="137"/>
      <c r="L17" s="137"/>
      <c r="M17" s="232" t="str">
        <f>IF(Eingabe!D46&amp;""&amp;Eingabe!E46="","",Eingabe!D46&amp;" 
"&amp;Eingabe!E46)</f>
        <v/>
      </c>
      <c r="N17" s="232"/>
      <c r="O17" s="232"/>
      <c r="P17" s="232"/>
      <c r="Q17" s="232"/>
      <c r="R17" s="232"/>
      <c r="S17" s="232"/>
      <c r="T17" s="232"/>
      <c r="U17" s="232"/>
      <c r="V17" s="232"/>
      <c r="W17" s="232"/>
      <c r="X17" s="232"/>
      <c r="Y17" s="232"/>
      <c r="Z17" s="232"/>
      <c r="AA17" s="232"/>
      <c r="AB17" s="232"/>
      <c r="AC17" s="232"/>
      <c r="AD17" s="232"/>
      <c r="AE17" s="232"/>
      <c r="AF17" s="232"/>
      <c r="AG17" s="137" t="str">
        <f>IF(Eingabe!F46&amp;""&amp;Eingabe!G46="","",Eingabe!F46&amp;" 
"&amp;Eingabe!G46)</f>
        <v/>
      </c>
      <c r="AH17" s="137"/>
      <c r="AI17" s="137"/>
      <c r="AJ17" s="137"/>
      <c r="AK17" s="137"/>
      <c r="AL17" s="137"/>
      <c r="AM17" s="137"/>
      <c r="AN17" s="137"/>
      <c r="AO17" s="137"/>
      <c r="AP17" s="137"/>
      <c r="AQ17" s="137"/>
      <c r="AR17" s="137"/>
      <c r="AS17" s="137"/>
      <c r="AT17" s="137"/>
      <c r="AU17" s="137"/>
      <c r="AV17" s="137"/>
      <c r="AW17" s="137"/>
      <c r="AX17" s="137" t="str">
        <f>IF(Eingabe!H46="","",Eingabe!H46)</f>
        <v/>
      </c>
      <c r="AY17" s="137"/>
      <c r="AZ17" s="137"/>
      <c r="BA17" s="137"/>
      <c r="BB17" s="137" t="str">
        <f>IF(Eingabe!K46="","",Eingabe!K46)</f>
        <v/>
      </c>
      <c r="BC17" s="137"/>
      <c r="BD17" s="137"/>
      <c r="BE17" s="137"/>
      <c r="BF17" s="137"/>
      <c r="BG17" s="137"/>
      <c r="BH17" s="137"/>
      <c r="BI17" s="137"/>
      <c r="BJ17" s="137"/>
      <c r="BK17" s="137"/>
      <c r="BL17" s="137"/>
      <c r="BM17" s="137"/>
      <c r="BN17" s="138"/>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22" t="str">
        <f>IF(Eingabe!A47="","",Eingabe!A47)</f>
        <v/>
      </c>
      <c r="B18" s="145"/>
      <c r="C18" s="145"/>
      <c r="D18" s="145"/>
      <c r="E18" s="145" t="str">
        <f>IF(Eingabe!B47="","",Eingabe!B47)</f>
        <v/>
      </c>
      <c r="F18" s="145"/>
      <c r="G18" s="145"/>
      <c r="H18" s="145"/>
      <c r="I18" s="137" t="str">
        <f>IF(Eingabe!C47="","",Eingabe!C47)</f>
        <v/>
      </c>
      <c r="J18" s="137"/>
      <c r="K18" s="137"/>
      <c r="L18" s="137"/>
      <c r="M18" s="232" t="str">
        <f>IF(Eingabe!D47&amp;""&amp;Eingabe!E47="","",Eingabe!D47&amp;" 
"&amp;Eingabe!E47)</f>
        <v/>
      </c>
      <c r="N18" s="232"/>
      <c r="O18" s="232"/>
      <c r="P18" s="232"/>
      <c r="Q18" s="232"/>
      <c r="R18" s="232"/>
      <c r="S18" s="232"/>
      <c r="T18" s="232"/>
      <c r="U18" s="232"/>
      <c r="V18" s="232"/>
      <c r="W18" s="232"/>
      <c r="X18" s="232"/>
      <c r="Y18" s="232"/>
      <c r="Z18" s="232"/>
      <c r="AA18" s="232"/>
      <c r="AB18" s="232"/>
      <c r="AC18" s="232"/>
      <c r="AD18" s="232"/>
      <c r="AE18" s="232"/>
      <c r="AF18" s="232"/>
      <c r="AG18" s="137" t="str">
        <f>IF(Eingabe!F47&amp;""&amp;Eingabe!G47="","",Eingabe!F47&amp;" 
"&amp;Eingabe!G47)</f>
        <v/>
      </c>
      <c r="AH18" s="137"/>
      <c r="AI18" s="137"/>
      <c r="AJ18" s="137"/>
      <c r="AK18" s="137"/>
      <c r="AL18" s="137"/>
      <c r="AM18" s="137"/>
      <c r="AN18" s="137"/>
      <c r="AO18" s="137"/>
      <c r="AP18" s="137"/>
      <c r="AQ18" s="137"/>
      <c r="AR18" s="137"/>
      <c r="AS18" s="137"/>
      <c r="AT18" s="137"/>
      <c r="AU18" s="137"/>
      <c r="AV18" s="137"/>
      <c r="AW18" s="137"/>
      <c r="AX18" s="137" t="str">
        <f>IF(Eingabe!H47="","",Eingabe!H47)</f>
        <v/>
      </c>
      <c r="AY18" s="137"/>
      <c r="AZ18" s="137"/>
      <c r="BA18" s="137"/>
      <c r="BB18" s="137" t="str">
        <f>IF(Eingabe!K47="","",Eingabe!K47)</f>
        <v/>
      </c>
      <c r="BC18" s="137"/>
      <c r="BD18" s="137"/>
      <c r="BE18" s="137"/>
      <c r="BF18" s="137"/>
      <c r="BG18" s="137"/>
      <c r="BH18" s="137"/>
      <c r="BI18" s="137"/>
      <c r="BJ18" s="137"/>
      <c r="BK18" s="137"/>
      <c r="BL18" s="137"/>
      <c r="BM18" s="137"/>
      <c r="BN18" s="138"/>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22" t="str">
        <f>IF(Eingabe!A48="","",Eingabe!A48)</f>
        <v/>
      </c>
      <c r="B19" s="145"/>
      <c r="C19" s="145"/>
      <c r="D19" s="145"/>
      <c r="E19" s="145" t="str">
        <f>IF(Eingabe!B48="","",Eingabe!B48)</f>
        <v/>
      </c>
      <c r="F19" s="145"/>
      <c r="G19" s="145"/>
      <c r="H19" s="145"/>
      <c r="I19" s="137" t="str">
        <f>IF(Eingabe!C48="","",Eingabe!C48)</f>
        <v/>
      </c>
      <c r="J19" s="137"/>
      <c r="K19" s="137"/>
      <c r="L19" s="137"/>
      <c r="M19" s="232" t="str">
        <f>IF(Eingabe!D48&amp;""&amp;Eingabe!E48="","",Eingabe!D48&amp;" 
"&amp;Eingabe!E48)</f>
        <v/>
      </c>
      <c r="N19" s="232"/>
      <c r="O19" s="232"/>
      <c r="P19" s="232"/>
      <c r="Q19" s="232"/>
      <c r="R19" s="232"/>
      <c r="S19" s="232"/>
      <c r="T19" s="232"/>
      <c r="U19" s="232"/>
      <c r="V19" s="232"/>
      <c r="W19" s="232"/>
      <c r="X19" s="232"/>
      <c r="Y19" s="232"/>
      <c r="Z19" s="232"/>
      <c r="AA19" s="232"/>
      <c r="AB19" s="232"/>
      <c r="AC19" s="232"/>
      <c r="AD19" s="232"/>
      <c r="AE19" s="232"/>
      <c r="AF19" s="232"/>
      <c r="AG19" s="137" t="str">
        <f>IF(Eingabe!F48&amp;""&amp;Eingabe!G48="","",Eingabe!F48&amp;" 
"&amp;Eingabe!G48)</f>
        <v/>
      </c>
      <c r="AH19" s="137"/>
      <c r="AI19" s="137"/>
      <c r="AJ19" s="137"/>
      <c r="AK19" s="137"/>
      <c r="AL19" s="137"/>
      <c r="AM19" s="137"/>
      <c r="AN19" s="137"/>
      <c r="AO19" s="137"/>
      <c r="AP19" s="137"/>
      <c r="AQ19" s="137"/>
      <c r="AR19" s="137"/>
      <c r="AS19" s="137"/>
      <c r="AT19" s="137"/>
      <c r="AU19" s="137"/>
      <c r="AV19" s="137"/>
      <c r="AW19" s="137"/>
      <c r="AX19" s="137" t="str">
        <f>IF(Eingabe!H48="","",Eingabe!H48)</f>
        <v/>
      </c>
      <c r="AY19" s="137"/>
      <c r="AZ19" s="137"/>
      <c r="BA19" s="137"/>
      <c r="BB19" s="137" t="str">
        <f>IF(Eingabe!K48="","",Eingabe!K48)</f>
        <v/>
      </c>
      <c r="BC19" s="137"/>
      <c r="BD19" s="137"/>
      <c r="BE19" s="137"/>
      <c r="BF19" s="137"/>
      <c r="BG19" s="137"/>
      <c r="BH19" s="137"/>
      <c r="BI19" s="137"/>
      <c r="BJ19" s="137"/>
      <c r="BK19" s="137"/>
      <c r="BL19" s="137"/>
      <c r="BM19" s="137"/>
      <c r="BN19" s="138"/>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22" t="str">
        <f>IF(Eingabe!A49="","",Eingabe!A49)</f>
        <v/>
      </c>
      <c r="B20" s="145"/>
      <c r="C20" s="145"/>
      <c r="D20" s="145"/>
      <c r="E20" s="145" t="str">
        <f>IF(Eingabe!B49="","",Eingabe!B49)</f>
        <v/>
      </c>
      <c r="F20" s="145"/>
      <c r="G20" s="145"/>
      <c r="H20" s="145"/>
      <c r="I20" s="137" t="str">
        <f>IF(Eingabe!C49="","",Eingabe!C49)</f>
        <v/>
      </c>
      <c r="J20" s="137"/>
      <c r="K20" s="137"/>
      <c r="L20" s="137"/>
      <c r="M20" s="232" t="str">
        <f>IF(Eingabe!D49&amp;""&amp;Eingabe!E49="","",Eingabe!D49&amp;" 
"&amp;Eingabe!E49)</f>
        <v/>
      </c>
      <c r="N20" s="232"/>
      <c r="O20" s="232"/>
      <c r="P20" s="232"/>
      <c r="Q20" s="232"/>
      <c r="R20" s="232"/>
      <c r="S20" s="232"/>
      <c r="T20" s="232"/>
      <c r="U20" s="232"/>
      <c r="V20" s="232"/>
      <c r="W20" s="232"/>
      <c r="X20" s="232"/>
      <c r="Y20" s="232"/>
      <c r="Z20" s="232"/>
      <c r="AA20" s="232"/>
      <c r="AB20" s="232"/>
      <c r="AC20" s="232"/>
      <c r="AD20" s="232"/>
      <c r="AE20" s="232"/>
      <c r="AF20" s="232"/>
      <c r="AG20" s="137" t="str">
        <f>IF(Eingabe!F49&amp;""&amp;Eingabe!G49="","",Eingabe!F49&amp;" 
"&amp;Eingabe!G49)</f>
        <v/>
      </c>
      <c r="AH20" s="137"/>
      <c r="AI20" s="137"/>
      <c r="AJ20" s="137"/>
      <c r="AK20" s="137"/>
      <c r="AL20" s="137"/>
      <c r="AM20" s="137"/>
      <c r="AN20" s="137"/>
      <c r="AO20" s="137"/>
      <c r="AP20" s="137"/>
      <c r="AQ20" s="137"/>
      <c r="AR20" s="137"/>
      <c r="AS20" s="137"/>
      <c r="AT20" s="137"/>
      <c r="AU20" s="137"/>
      <c r="AV20" s="137"/>
      <c r="AW20" s="137"/>
      <c r="AX20" s="137" t="str">
        <f>IF(Eingabe!H49="","",Eingabe!H49)</f>
        <v/>
      </c>
      <c r="AY20" s="137"/>
      <c r="AZ20" s="137"/>
      <c r="BA20" s="137"/>
      <c r="BB20" s="137" t="str">
        <f>IF(Eingabe!K49="","",Eingabe!K49)</f>
        <v/>
      </c>
      <c r="BC20" s="137"/>
      <c r="BD20" s="137"/>
      <c r="BE20" s="137"/>
      <c r="BF20" s="137"/>
      <c r="BG20" s="137"/>
      <c r="BH20" s="137"/>
      <c r="BI20" s="137"/>
      <c r="BJ20" s="137"/>
      <c r="BK20" s="137"/>
      <c r="BL20" s="137"/>
      <c r="BM20" s="137"/>
      <c r="BN20" s="138"/>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22" t="str">
        <f>IF(Eingabe!A50="","",Eingabe!A50)</f>
        <v/>
      </c>
      <c r="B21" s="145"/>
      <c r="C21" s="145"/>
      <c r="D21" s="145"/>
      <c r="E21" s="145" t="str">
        <f>IF(Eingabe!B50="","",Eingabe!B50)</f>
        <v/>
      </c>
      <c r="F21" s="145"/>
      <c r="G21" s="145"/>
      <c r="H21" s="145"/>
      <c r="I21" s="137" t="str">
        <f>IF(Eingabe!C50="","",Eingabe!C50)</f>
        <v/>
      </c>
      <c r="J21" s="137"/>
      <c r="K21" s="137"/>
      <c r="L21" s="137"/>
      <c r="M21" s="232" t="str">
        <f>IF(Eingabe!D50&amp;""&amp;Eingabe!E50="","",Eingabe!D50&amp;" 
"&amp;Eingabe!E50)</f>
        <v/>
      </c>
      <c r="N21" s="232"/>
      <c r="O21" s="232"/>
      <c r="P21" s="232"/>
      <c r="Q21" s="232"/>
      <c r="R21" s="232"/>
      <c r="S21" s="232"/>
      <c r="T21" s="232"/>
      <c r="U21" s="232"/>
      <c r="V21" s="232"/>
      <c r="W21" s="232"/>
      <c r="X21" s="232"/>
      <c r="Y21" s="232"/>
      <c r="Z21" s="232"/>
      <c r="AA21" s="232"/>
      <c r="AB21" s="232"/>
      <c r="AC21" s="232"/>
      <c r="AD21" s="232"/>
      <c r="AE21" s="232"/>
      <c r="AF21" s="232"/>
      <c r="AG21" s="137" t="str">
        <f>IF(Eingabe!F50&amp;""&amp;Eingabe!G50="","",Eingabe!F50&amp;" 
"&amp;Eingabe!G50)</f>
        <v/>
      </c>
      <c r="AH21" s="137"/>
      <c r="AI21" s="137"/>
      <c r="AJ21" s="137"/>
      <c r="AK21" s="137"/>
      <c r="AL21" s="137"/>
      <c r="AM21" s="137"/>
      <c r="AN21" s="137"/>
      <c r="AO21" s="137"/>
      <c r="AP21" s="137"/>
      <c r="AQ21" s="137"/>
      <c r="AR21" s="137"/>
      <c r="AS21" s="137"/>
      <c r="AT21" s="137"/>
      <c r="AU21" s="137"/>
      <c r="AV21" s="137"/>
      <c r="AW21" s="137"/>
      <c r="AX21" s="137" t="str">
        <f>IF(Eingabe!H50="","",Eingabe!H50)</f>
        <v/>
      </c>
      <c r="AY21" s="137"/>
      <c r="AZ21" s="137"/>
      <c r="BA21" s="137"/>
      <c r="BB21" s="137" t="str">
        <f>IF(Eingabe!K50="","",Eingabe!K50)</f>
        <v/>
      </c>
      <c r="BC21" s="137"/>
      <c r="BD21" s="137"/>
      <c r="BE21" s="137"/>
      <c r="BF21" s="137"/>
      <c r="BG21" s="137"/>
      <c r="BH21" s="137"/>
      <c r="BI21" s="137"/>
      <c r="BJ21" s="137"/>
      <c r="BK21" s="137"/>
      <c r="BL21" s="137"/>
      <c r="BM21" s="137"/>
      <c r="BN21" s="138"/>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22" t="str">
        <f>IF(Eingabe!A51="","",Eingabe!A51)</f>
        <v/>
      </c>
      <c r="B22" s="145"/>
      <c r="C22" s="145"/>
      <c r="D22" s="145"/>
      <c r="E22" s="145" t="str">
        <f>IF(Eingabe!B51="","",Eingabe!B51)</f>
        <v/>
      </c>
      <c r="F22" s="145"/>
      <c r="G22" s="145"/>
      <c r="H22" s="145"/>
      <c r="I22" s="137" t="str">
        <f>IF(Eingabe!C51="","",Eingabe!C51)</f>
        <v/>
      </c>
      <c r="J22" s="137"/>
      <c r="K22" s="137"/>
      <c r="L22" s="137"/>
      <c r="M22" s="232" t="str">
        <f>IF(Eingabe!D51&amp;""&amp;Eingabe!E51="","",Eingabe!D51&amp;" 
"&amp;Eingabe!E51)</f>
        <v/>
      </c>
      <c r="N22" s="232"/>
      <c r="O22" s="232"/>
      <c r="P22" s="232"/>
      <c r="Q22" s="232"/>
      <c r="R22" s="232"/>
      <c r="S22" s="232"/>
      <c r="T22" s="232"/>
      <c r="U22" s="232"/>
      <c r="V22" s="232"/>
      <c r="W22" s="232"/>
      <c r="X22" s="232"/>
      <c r="Y22" s="232"/>
      <c r="Z22" s="232"/>
      <c r="AA22" s="232"/>
      <c r="AB22" s="232"/>
      <c r="AC22" s="232"/>
      <c r="AD22" s="232"/>
      <c r="AE22" s="232"/>
      <c r="AF22" s="232"/>
      <c r="AG22" s="137" t="str">
        <f>IF(Eingabe!F51&amp;""&amp;Eingabe!G51="","",Eingabe!F51&amp;" 
"&amp;Eingabe!G51)</f>
        <v/>
      </c>
      <c r="AH22" s="137"/>
      <c r="AI22" s="137"/>
      <c r="AJ22" s="137"/>
      <c r="AK22" s="137"/>
      <c r="AL22" s="137"/>
      <c r="AM22" s="137"/>
      <c r="AN22" s="137"/>
      <c r="AO22" s="137"/>
      <c r="AP22" s="137"/>
      <c r="AQ22" s="137"/>
      <c r="AR22" s="137"/>
      <c r="AS22" s="137"/>
      <c r="AT22" s="137"/>
      <c r="AU22" s="137"/>
      <c r="AV22" s="137"/>
      <c r="AW22" s="137"/>
      <c r="AX22" s="137" t="str">
        <f>IF(Eingabe!H51="","",Eingabe!H51)</f>
        <v/>
      </c>
      <c r="AY22" s="137"/>
      <c r="AZ22" s="137"/>
      <c r="BA22" s="137"/>
      <c r="BB22" s="137" t="str">
        <f>IF(Eingabe!K51="","",Eingabe!K51)</f>
        <v/>
      </c>
      <c r="BC22" s="137"/>
      <c r="BD22" s="137"/>
      <c r="BE22" s="137"/>
      <c r="BF22" s="137"/>
      <c r="BG22" s="137"/>
      <c r="BH22" s="137"/>
      <c r="BI22" s="137"/>
      <c r="BJ22" s="137"/>
      <c r="BK22" s="137"/>
      <c r="BL22" s="137"/>
      <c r="BM22" s="137"/>
      <c r="BN22" s="138"/>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22" t="str">
        <f>IF(Eingabe!A52="","",Eingabe!A52)</f>
        <v/>
      </c>
      <c r="B23" s="145"/>
      <c r="C23" s="145"/>
      <c r="D23" s="145"/>
      <c r="E23" s="145" t="str">
        <f>IF(Eingabe!B52="","",Eingabe!B52)</f>
        <v/>
      </c>
      <c r="F23" s="145"/>
      <c r="G23" s="145"/>
      <c r="H23" s="145"/>
      <c r="I23" s="137" t="str">
        <f>IF(Eingabe!C52="","",Eingabe!C52)</f>
        <v/>
      </c>
      <c r="J23" s="137"/>
      <c r="K23" s="137"/>
      <c r="L23" s="137"/>
      <c r="M23" s="232" t="str">
        <f>IF(Eingabe!D52&amp;""&amp;Eingabe!E52="","",Eingabe!D52&amp;" 
"&amp;Eingabe!E52)</f>
        <v/>
      </c>
      <c r="N23" s="232"/>
      <c r="O23" s="232"/>
      <c r="P23" s="232"/>
      <c r="Q23" s="232"/>
      <c r="R23" s="232"/>
      <c r="S23" s="232"/>
      <c r="T23" s="232"/>
      <c r="U23" s="232"/>
      <c r="V23" s="232"/>
      <c r="W23" s="232"/>
      <c r="X23" s="232"/>
      <c r="Y23" s="232"/>
      <c r="Z23" s="232"/>
      <c r="AA23" s="232"/>
      <c r="AB23" s="232"/>
      <c r="AC23" s="232"/>
      <c r="AD23" s="232"/>
      <c r="AE23" s="232"/>
      <c r="AF23" s="232"/>
      <c r="AG23" s="137" t="str">
        <f>IF(Eingabe!F52&amp;""&amp;Eingabe!G52="","",Eingabe!F52&amp;" 
"&amp;Eingabe!G52)</f>
        <v/>
      </c>
      <c r="AH23" s="137"/>
      <c r="AI23" s="137"/>
      <c r="AJ23" s="137"/>
      <c r="AK23" s="137"/>
      <c r="AL23" s="137"/>
      <c r="AM23" s="137"/>
      <c r="AN23" s="137"/>
      <c r="AO23" s="137"/>
      <c r="AP23" s="137"/>
      <c r="AQ23" s="137"/>
      <c r="AR23" s="137"/>
      <c r="AS23" s="137"/>
      <c r="AT23" s="137"/>
      <c r="AU23" s="137"/>
      <c r="AV23" s="137"/>
      <c r="AW23" s="137"/>
      <c r="AX23" s="137" t="str">
        <f>IF(Eingabe!H52="","",Eingabe!H52)</f>
        <v/>
      </c>
      <c r="AY23" s="137"/>
      <c r="AZ23" s="137"/>
      <c r="BA23" s="137"/>
      <c r="BB23" s="137" t="str">
        <f>IF(Eingabe!K52="","",Eingabe!K52)</f>
        <v/>
      </c>
      <c r="BC23" s="137"/>
      <c r="BD23" s="137"/>
      <c r="BE23" s="137"/>
      <c r="BF23" s="137"/>
      <c r="BG23" s="137"/>
      <c r="BH23" s="137"/>
      <c r="BI23" s="137"/>
      <c r="BJ23" s="137"/>
      <c r="BK23" s="137"/>
      <c r="BL23" s="137"/>
      <c r="BM23" s="137"/>
      <c r="BN23" s="138"/>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22" t="str">
        <f>IF(Eingabe!A53="","",Eingabe!A53)</f>
        <v/>
      </c>
      <c r="B24" s="145"/>
      <c r="C24" s="145"/>
      <c r="D24" s="145"/>
      <c r="E24" s="145" t="str">
        <f>IF(Eingabe!B53="","",Eingabe!B53)</f>
        <v/>
      </c>
      <c r="F24" s="145"/>
      <c r="G24" s="145"/>
      <c r="H24" s="145"/>
      <c r="I24" s="137" t="str">
        <f>IF(Eingabe!C53="","",Eingabe!C53)</f>
        <v/>
      </c>
      <c r="J24" s="137"/>
      <c r="K24" s="137"/>
      <c r="L24" s="137"/>
      <c r="M24" s="232" t="str">
        <f>IF(Eingabe!D53&amp;""&amp;Eingabe!E53="","",Eingabe!D53&amp;" 
"&amp;Eingabe!E53)</f>
        <v/>
      </c>
      <c r="N24" s="232"/>
      <c r="O24" s="232"/>
      <c r="P24" s="232"/>
      <c r="Q24" s="232"/>
      <c r="R24" s="232"/>
      <c r="S24" s="232"/>
      <c r="T24" s="232"/>
      <c r="U24" s="232"/>
      <c r="V24" s="232"/>
      <c r="W24" s="232"/>
      <c r="X24" s="232"/>
      <c r="Y24" s="232"/>
      <c r="Z24" s="232"/>
      <c r="AA24" s="232"/>
      <c r="AB24" s="232"/>
      <c r="AC24" s="232"/>
      <c r="AD24" s="232"/>
      <c r="AE24" s="232"/>
      <c r="AF24" s="232"/>
      <c r="AG24" s="137" t="str">
        <f>IF(Eingabe!F53&amp;""&amp;Eingabe!G53="","",Eingabe!F53&amp;" 
"&amp;Eingabe!G53)</f>
        <v/>
      </c>
      <c r="AH24" s="137"/>
      <c r="AI24" s="137"/>
      <c r="AJ24" s="137"/>
      <c r="AK24" s="137"/>
      <c r="AL24" s="137"/>
      <c r="AM24" s="137"/>
      <c r="AN24" s="137"/>
      <c r="AO24" s="137"/>
      <c r="AP24" s="137"/>
      <c r="AQ24" s="137"/>
      <c r="AR24" s="137"/>
      <c r="AS24" s="137"/>
      <c r="AT24" s="137"/>
      <c r="AU24" s="137"/>
      <c r="AV24" s="137"/>
      <c r="AW24" s="137"/>
      <c r="AX24" s="137" t="str">
        <f>IF(Eingabe!H53="","",Eingabe!H53)</f>
        <v/>
      </c>
      <c r="AY24" s="137"/>
      <c r="AZ24" s="137"/>
      <c r="BA24" s="137"/>
      <c r="BB24" s="137" t="str">
        <f>IF(Eingabe!K53="","",Eingabe!K53)</f>
        <v/>
      </c>
      <c r="BC24" s="137"/>
      <c r="BD24" s="137"/>
      <c r="BE24" s="137"/>
      <c r="BF24" s="137"/>
      <c r="BG24" s="137"/>
      <c r="BH24" s="137"/>
      <c r="BI24" s="137"/>
      <c r="BJ24" s="137"/>
      <c r="BK24" s="137"/>
      <c r="BL24" s="137"/>
      <c r="BM24" s="137"/>
      <c r="BN24" s="138"/>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22" t="str">
        <f>IF(Eingabe!A54="","",Eingabe!A54)</f>
        <v/>
      </c>
      <c r="B25" s="145"/>
      <c r="C25" s="145"/>
      <c r="D25" s="145"/>
      <c r="E25" s="145" t="str">
        <f>IF(Eingabe!B54="","",Eingabe!B54)</f>
        <v/>
      </c>
      <c r="F25" s="145"/>
      <c r="G25" s="145"/>
      <c r="H25" s="145"/>
      <c r="I25" s="137" t="str">
        <f>IF(Eingabe!C54="","",Eingabe!C54)</f>
        <v/>
      </c>
      <c r="J25" s="137"/>
      <c r="K25" s="137"/>
      <c r="L25" s="137"/>
      <c r="M25" s="232" t="str">
        <f>IF(Eingabe!D54&amp;""&amp;Eingabe!E54="","",Eingabe!D54&amp;" 
"&amp;Eingabe!E54)</f>
        <v/>
      </c>
      <c r="N25" s="232"/>
      <c r="O25" s="232"/>
      <c r="P25" s="232"/>
      <c r="Q25" s="232"/>
      <c r="R25" s="232"/>
      <c r="S25" s="232"/>
      <c r="T25" s="232"/>
      <c r="U25" s="232"/>
      <c r="V25" s="232"/>
      <c r="W25" s="232"/>
      <c r="X25" s="232"/>
      <c r="Y25" s="232"/>
      <c r="Z25" s="232"/>
      <c r="AA25" s="232"/>
      <c r="AB25" s="232"/>
      <c r="AC25" s="232"/>
      <c r="AD25" s="232"/>
      <c r="AE25" s="232"/>
      <c r="AF25" s="232"/>
      <c r="AG25" s="137" t="str">
        <f>IF(Eingabe!F54&amp;""&amp;Eingabe!G54="","",Eingabe!F54&amp;" 
"&amp;Eingabe!G54)</f>
        <v/>
      </c>
      <c r="AH25" s="137"/>
      <c r="AI25" s="137"/>
      <c r="AJ25" s="137"/>
      <c r="AK25" s="137"/>
      <c r="AL25" s="137"/>
      <c r="AM25" s="137"/>
      <c r="AN25" s="137"/>
      <c r="AO25" s="137"/>
      <c r="AP25" s="137"/>
      <c r="AQ25" s="137"/>
      <c r="AR25" s="137"/>
      <c r="AS25" s="137"/>
      <c r="AT25" s="137"/>
      <c r="AU25" s="137"/>
      <c r="AV25" s="137"/>
      <c r="AW25" s="137"/>
      <c r="AX25" s="137" t="str">
        <f>IF(Eingabe!H54="","",Eingabe!H54)</f>
        <v/>
      </c>
      <c r="AY25" s="137"/>
      <c r="AZ25" s="137"/>
      <c r="BA25" s="137"/>
      <c r="BB25" s="137" t="str">
        <f>IF(Eingabe!K54="","",Eingabe!K54)</f>
        <v/>
      </c>
      <c r="BC25" s="137"/>
      <c r="BD25" s="137"/>
      <c r="BE25" s="137"/>
      <c r="BF25" s="137"/>
      <c r="BG25" s="137"/>
      <c r="BH25" s="137"/>
      <c r="BI25" s="137"/>
      <c r="BJ25" s="137"/>
      <c r="BK25" s="137"/>
      <c r="BL25" s="137"/>
      <c r="BM25" s="137"/>
      <c r="BN25" s="138"/>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22" t="str">
        <f>IF(Eingabe!A55="","",Eingabe!A55)</f>
        <v/>
      </c>
      <c r="B26" s="145"/>
      <c r="C26" s="145"/>
      <c r="D26" s="145"/>
      <c r="E26" s="145" t="str">
        <f>IF(Eingabe!B55="","",Eingabe!B55)</f>
        <v/>
      </c>
      <c r="F26" s="145"/>
      <c r="G26" s="145"/>
      <c r="H26" s="145"/>
      <c r="I26" s="137" t="str">
        <f>IF(Eingabe!C55="","",Eingabe!C55)</f>
        <v/>
      </c>
      <c r="J26" s="137"/>
      <c r="K26" s="137"/>
      <c r="L26" s="137"/>
      <c r="M26" s="232" t="str">
        <f>IF(Eingabe!D55&amp;""&amp;Eingabe!E55="","",Eingabe!D55&amp;" 
"&amp;Eingabe!E55)</f>
        <v/>
      </c>
      <c r="N26" s="232"/>
      <c r="O26" s="232"/>
      <c r="P26" s="232"/>
      <c r="Q26" s="232"/>
      <c r="R26" s="232"/>
      <c r="S26" s="232"/>
      <c r="T26" s="232"/>
      <c r="U26" s="232"/>
      <c r="V26" s="232"/>
      <c r="W26" s="232"/>
      <c r="X26" s="232"/>
      <c r="Y26" s="232"/>
      <c r="Z26" s="232"/>
      <c r="AA26" s="232"/>
      <c r="AB26" s="232"/>
      <c r="AC26" s="232"/>
      <c r="AD26" s="232"/>
      <c r="AE26" s="232"/>
      <c r="AF26" s="232"/>
      <c r="AG26" s="137" t="str">
        <f>IF(Eingabe!F55&amp;""&amp;Eingabe!G55="","",Eingabe!F55&amp;" 
"&amp;Eingabe!G55)</f>
        <v/>
      </c>
      <c r="AH26" s="137"/>
      <c r="AI26" s="137"/>
      <c r="AJ26" s="137"/>
      <c r="AK26" s="137"/>
      <c r="AL26" s="137"/>
      <c r="AM26" s="137"/>
      <c r="AN26" s="137"/>
      <c r="AO26" s="137"/>
      <c r="AP26" s="137"/>
      <c r="AQ26" s="137"/>
      <c r="AR26" s="137"/>
      <c r="AS26" s="137"/>
      <c r="AT26" s="137"/>
      <c r="AU26" s="137"/>
      <c r="AV26" s="137"/>
      <c r="AW26" s="137"/>
      <c r="AX26" s="137" t="str">
        <f>IF(Eingabe!H55="","",Eingabe!H55)</f>
        <v/>
      </c>
      <c r="AY26" s="137"/>
      <c r="AZ26" s="137"/>
      <c r="BA26" s="137"/>
      <c r="BB26" s="137" t="str">
        <f>IF(Eingabe!K55="","",Eingabe!K55)</f>
        <v/>
      </c>
      <c r="BC26" s="137"/>
      <c r="BD26" s="137"/>
      <c r="BE26" s="137"/>
      <c r="BF26" s="137"/>
      <c r="BG26" s="137"/>
      <c r="BH26" s="137"/>
      <c r="BI26" s="137"/>
      <c r="BJ26" s="137"/>
      <c r="BK26" s="137"/>
      <c r="BL26" s="137"/>
      <c r="BM26" s="137"/>
      <c r="BN26" s="138"/>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22" t="str">
        <f>IF(Eingabe!A56="","",Eingabe!A56)</f>
        <v/>
      </c>
      <c r="B27" s="145"/>
      <c r="C27" s="145"/>
      <c r="D27" s="145"/>
      <c r="E27" s="145" t="str">
        <f>IF(Eingabe!B56="","",Eingabe!B56)</f>
        <v/>
      </c>
      <c r="F27" s="145"/>
      <c r="G27" s="145"/>
      <c r="H27" s="145"/>
      <c r="I27" s="137" t="str">
        <f>IF(Eingabe!C56="","",Eingabe!C56)</f>
        <v/>
      </c>
      <c r="J27" s="137"/>
      <c r="K27" s="137"/>
      <c r="L27" s="137"/>
      <c r="M27" s="232" t="str">
        <f>IF(Eingabe!D56&amp;""&amp;Eingabe!E56="","",Eingabe!D56&amp;" 
"&amp;Eingabe!E56)</f>
        <v/>
      </c>
      <c r="N27" s="232"/>
      <c r="O27" s="232"/>
      <c r="P27" s="232"/>
      <c r="Q27" s="232"/>
      <c r="R27" s="232"/>
      <c r="S27" s="232"/>
      <c r="T27" s="232"/>
      <c r="U27" s="232"/>
      <c r="V27" s="232"/>
      <c r="W27" s="232"/>
      <c r="X27" s="232"/>
      <c r="Y27" s="232"/>
      <c r="Z27" s="232"/>
      <c r="AA27" s="232"/>
      <c r="AB27" s="232"/>
      <c r="AC27" s="232"/>
      <c r="AD27" s="232"/>
      <c r="AE27" s="232"/>
      <c r="AF27" s="232"/>
      <c r="AG27" s="137" t="str">
        <f>IF(Eingabe!F56&amp;""&amp;Eingabe!G56="","",Eingabe!F56&amp;" 
"&amp;Eingabe!G56)</f>
        <v/>
      </c>
      <c r="AH27" s="137"/>
      <c r="AI27" s="137"/>
      <c r="AJ27" s="137"/>
      <c r="AK27" s="137"/>
      <c r="AL27" s="137"/>
      <c r="AM27" s="137"/>
      <c r="AN27" s="137"/>
      <c r="AO27" s="137"/>
      <c r="AP27" s="137"/>
      <c r="AQ27" s="137"/>
      <c r="AR27" s="137"/>
      <c r="AS27" s="137"/>
      <c r="AT27" s="137"/>
      <c r="AU27" s="137"/>
      <c r="AV27" s="137"/>
      <c r="AW27" s="137"/>
      <c r="AX27" s="137" t="str">
        <f>IF(Eingabe!H56="","",Eingabe!H56)</f>
        <v/>
      </c>
      <c r="AY27" s="137"/>
      <c r="AZ27" s="137"/>
      <c r="BA27" s="137"/>
      <c r="BB27" s="137" t="str">
        <f>IF(Eingabe!K56="","",Eingabe!K56)</f>
        <v/>
      </c>
      <c r="BC27" s="137"/>
      <c r="BD27" s="137"/>
      <c r="BE27" s="137"/>
      <c r="BF27" s="137"/>
      <c r="BG27" s="137"/>
      <c r="BH27" s="137"/>
      <c r="BI27" s="137"/>
      <c r="BJ27" s="137"/>
      <c r="BK27" s="137"/>
      <c r="BL27" s="137"/>
      <c r="BM27" s="137"/>
      <c r="BN27" s="138"/>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20" t="str">
        <f>IF(Eingabe!A57="","",Eingabe!A57)</f>
        <v/>
      </c>
      <c r="B28" s="221"/>
      <c r="C28" s="221"/>
      <c r="D28" s="221"/>
      <c r="E28" s="221" t="str">
        <f>IF(Eingabe!B57="","",Eingabe!B57)</f>
        <v/>
      </c>
      <c r="F28" s="221"/>
      <c r="G28" s="221"/>
      <c r="H28" s="221"/>
      <c r="I28" s="182" t="str">
        <f>IF(Eingabe!C57="","",Eingabe!C57)</f>
        <v/>
      </c>
      <c r="J28" s="182"/>
      <c r="K28" s="182"/>
      <c r="L28" s="182"/>
      <c r="M28" s="232" t="str">
        <f>IF(Eingabe!D57&amp;""&amp;Eingabe!E57="","",Eingabe!D57&amp;" 
"&amp;Eingabe!E57)</f>
        <v/>
      </c>
      <c r="N28" s="232"/>
      <c r="O28" s="232"/>
      <c r="P28" s="232"/>
      <c r="Q28" s="232"/>
      <c r="R28" s="232"/>
      <c r="S28" s="232"/>
      <c r="T28" s="232"/>
      <c r="U28" s="232"/>
      <c r="V28" s="232"/>
      <c r="W28" s="232"/>
      <c r="X28" s="232"/>
      <c r="Y28" s="232"/>
      <c r="Z28" s="232"/>
      <c r="AA28" s="232"/>
      <c r="AB28" s="232"/>
      <c r="AC28" s="232"/>
      <c r="AD28" s="232"/>
      <c r="AE28" s="232"/>
      <c r="AF28" s="232"/>
      <c r="AG28" s="137" t="str">
        <f>IF(Eingabe!F57&amp;""&amp;Eingabe!G57="","",Eingabe!F57&amp;" 
"&amp;Eingabe!G57)</f>
        <v/>
      </c>
      <c r="AH28" s="137"/>
      <c r="AI28" s="137"/>
      <c r="AJ28" s="137"/>
      <c r="AK28" s="137"/>
      <c r="AL28" s="137"/>
      <c r="AM28" s="137"/>
      <c r="AN28" s="137"/>
      <c r="AO28" s="137"/>
      <c r="AP28" s="137"/>
      <c r="AQ28" s="137"/>
      <c r="AR28" s="137"/>
      <c r="AS28" s="137"/>
      <c r="AT28" s="137"/>
      <c r="AU28" s="137"/>
      <c r="AV28" s="137"/>
      <c r="AW28" s="137"/>
      <c r="AX28" s="182" t="str">
        <f>IF(Eingabe!H57="","",Eingabe!H57)</f>
        <v/>
      </c>
      <c r="AY28" s="182"/>
      <c r="AZ28" s="182"/>
      <c r="BA28" s="182"/>
      <c r="BB28" s="182" t="str">
        <f>IF(Eingabe!K57="","",Eingabe!K57)</f>
        <v/>
      </c>
      <c r="BC28" s="182"/>
      <c r="BD28" s="182"/>
      <c r="BE28" s="182"/>
      <c r="BF28" s="182"/>
      <c r="BG28" s="182"/>
      <c r="BH28" s="182"/>
      <c r="BI28" s="182"/>
      <c r="BJ28" s="182"/>
      <c r="BK28" s="182"/>
      <c r="BL28" s="182"/>
      <c r="BM28" s="182"/>
      <c r="BN28" s="233"/>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83" t="s">
        <v>0</v>
      </c>
      <c r="B29" s="184"/>
      <c r="C29" s="184"/>
      <c r="D29" s="184"/>
      <c r="E29" s="184"/>
      <c r="F29" s="184"/>
      <c r="G29" s="184"/>
      <c r="H29" s="184"/>
      <c r="I29" s="184"/>
      <c r="J29" s="184"/>
      <c r="K29" s="184"/>
      <c r="L29" s="184"/>
      <c r="M29" s="184"/>
      <c r="N29" s="184"/>
      <c r="O29" s="184"/>
      <c r="P29" s="184"/>
      <c r="Q29" s="184"/>
      <c r="R29" s="184"/>
      <c r="S29" s="184"/>
      <c r="T29" s="184"/>
      <c r="U29" s="184"/>
      <c r="V29" s="185"/>
      <c r="W29" s="134" t="s">
        <v>1</v>
      </c>
      <c r="X29" s="135"/>
      <c r="Y29" s="135"/>
      <c r="Z29" s="135"/>
      <c r="AA29" s="135"/>
      <c r="AB29" s="135"/>
      <c r="AC29" s="135"/>
      <c r="AD29" s="135"/>
      <c r="AE29" s="135"/>
      <c r="AF29" s="135"/>
      <c r="AG29" s="135"/>
      <c r="AH29" s="135"/>
      <c r="AI29" s="135"/>
      <c r="AJ29" s="135"/>
      <c r="AK29" s="135"/>
      <c r="AL29" s="135"/>
      <c r="AM29" s="135"/>
      <c r="AN29" s="135"/>
      <c r="AO29" s="135"/>
      <c r="AP29" s="135"/>
      <c r="AQ29" s="135"/>
      <c r="AR29" s="136"/>
      <c r="AS29" s="134" t="s">
        <v>2</v>
      </c>
      <c r="AT29" s="135"/>
      <c r="AU29" s="135"/>
      <c r="AV29" s="135"/>
      <c r="AW29" s="135"/>
      <c r="AX29" s="135"/>
      <c r="AY29" s="135"/>
      <c r="AZ29" s="135"/>
      <c r="BA29" s="136"/>
      <c r="BB29" s="134" t="s">
        <v>3</v>
      </c>
      <c r="BC29" s="135"/>
      <c r="BD29" s="135"/>
      <c r="BE29" s="135"/>
      <c r="BF29" s="135"/>
      <c r="BG29" s="135"/>
      <c r="BH29" s="135"/>
      <c r="BI29" s="135"/>
      <c r="BJ29" s="135"/>
      <c r="BK29" s="135"/>
      <c r="BL29" s="135"/>
      <c r="BM29" s="135"/>
      <c r="BN29" s="136"/>
    </row>
    <row r="30" spans="1:256" ht="10.5" customHeight="1" x14ac:dyDescent="0.2">
      <c r="A30" s="146" t="str">
        <f>IF(Eingabe!O2="","",Eingabe!O2)</f>
        <v>Beilage 3</v>
      </c>
      <c r="B30" s="147"/>
      <c r="C30" s="147"/>
      <c r="D30" s="147"/>
      <c r="E30" s="147"/>
      <c r="F30" s="147"/>
      <c r="G30" s="147"/>
      <c r="H30" s="147"/>
      <c r="I30" s="147"/>
      <c r="J30" s="147"/>
      <c r="K30" s="147"/>
      <c r="L30" s="147"/>
      <c r="M30" s="147"/>
      <c r="N30" s="147"/>
      <c r="O30" s="147"/>
      <c r="P30" s="147"/>
      <c r="Q30" s="147"/>
      <c r="R30" s="147"/>
      <c r="S30" s="147"/>
      <c r="T30" s="147"/>
      <c r="U30" s="147"/>
      <c r="V30" s="148"/>
      <c r="W30" s="186" t="str">
        <f>IF(Eingabe!E3="","",Eingabe!E3)</f>
        <v>Max Mustermann</v>
      </c>
      <c r="X30" s="187"/>
      <c r="Y30" s="187"/>
      <c r="Z30" s="187"/>
      <c r="AA30" s="187"/>
      <c r="AB30" s="187"/>
      <c r="AC30" s="187"/>
      <c r="AD30" s="187"/>
      <c r="AE30" s="187"/>
      <c r="AF30" s="187"/>
      <c r="AG30" s="187"/>
      <c r="AH30" s="187"/>
      <c r="AI30" s="187"/>
      <c r="AJ30" s="187"/>
      <c r="AK30" s="187"/>
      <c r="AL30" s="187"/>
      <c r="AM30" s="187"/>
      <c r="AN30" s="187"/>
      <c r="AO30" s="187"/>
      <c r="AP30" s="187"/>
      <c r="AQ30" s="187"/>
      <c r="AR30" s="188"/>
      <c r="AS30" s="192" t="str">
        <f>IF(Eingabe!I1="","",Eingabe!I1)</f>
        <v/>
      </c>
      <c r="AT30" s="193"/>
      <c r="AU30" s="193"/>
      <c r="AV30" s="193"/>
      <c r="AW30" s="193"/>
      <c r="AX30" s="193"/>
      <c r="AY30" s="193"/>
      <c r="AZ30" s="193"/>
      <c r="BA30" s="194"/>
      <c r="BB30" s="210" t="str">
        <f>IF(Eingabe!I2="","",Eingabe!I2)</f>
        <v/>
      </c>
      <c r="BC30" s="211"/>
      <c r="BD30" s="211"/>
      <c r="BE30" s="211"/>
      <c r="BF30" s="211"/>
      <c r="BG30" s="211"/>
      <c r="BH30" s="211"/>
      <c r="BI30" s="211"/>
      <c r="BJ30" s="211"/>
      <c r="BK30" s="211"/>
      <c r="BL30" s="211"/>
      <c r="BM30" s="211"/>
      <c r="BN30" s="212"/>
    </row>
    <row r="31" spans="1:256" ht="10.5" customHeight="1" thickBot="1" x14ac:dyDescent="0.25">
      <c r="A31" s="149"/>
      <c r="B31" s="150"/>
      <c r="C31" s="150"/>
      <c r="D31" s="150"/>
      <c r="E31" s="150"/>
      <c r="F31" s="150"/>
      <c r="G31" s="150"/>
      <c r="H31" s="150"/>
      <c r="I31" s="150"/>
      <c r="J31" s="150"/>
      <c r="K31" s="150"/>
      <c r="L31" s="150"/>
      <c r="M31" s="150"/>
      <c r="N31" s="150"/>
      <c r="O31" s="150"/>
      <c r="P31" s="150"/>
      <c r="Q31" s="150"/>
      <c r="R31" s="150"/>
      <c r="S31" s="150"/>
      <c r="T31" s="150"/>
      <c r="U31" s="150"/>
      <c r="V31" s="151"/>
      <c r="W31" s="189"/>
      <c r="X31" s="190"/>
      <c r="Y31" s="190"/>
      <c r="Z31" s="190"/>
      <c r="AA31" s="190"/>
      <c r="AB31" s="190"/>
      <c r="AC31" s="190"/>
      <c r="AD31" s="190"/>
      <c r="AE31" s="190"/>
      <c r="AF31" s="190"/>
      <c r="AG31" s="190"/>
      <c r="AH31" s="190"/>
      <c r="AI31" s="190"/>
      <c r="AJ31" s="190"/>
      <c r="AK31" s="190"/>
      <c r="AL31" s="190"/>
      <c r="AM31" s="190"/>
      <c r="AN31" s="190"/>
      <c r="AO31" s="190"/>
      <c r="AP31" s="190"/>
      <c r="AQ31" s="190"/>
      <c r="AR31" s="191"/>
      <c r="AS31" s="195"/>
      <c r="AT31" s="196"/>
      <c r="AU31" s="196"/>
      <c r="AV31" s="196"/>
      <c r="AW31" s="196"/>
      <c r="AX31" s="196"/>
      <c r="AY31" s="196"/>
      <c r="AZ31" s="196"/>
      <c r="BA31" s="197"/>
      <c r="BB31" s="213"/>
      <c r="BC31" s="214"/>
      <c r="BD31" s="214"/>
      <c r="BE31" s="214"/>
      <c r="BF31" s="214"/>
      <c r="BG31" s="214"/>
      <c r="BH31" s="214"/>
      <c r="BI31" s="214"/>
      <c r="BJ31" s="214"/>
      <c r="BK31" s="214"/>
      <c r="BL31" s="214"/>
      <c r="BM31" s="214"/>
      <c r="BN31" s="215"/>
    </row>
    <row r="32" spans="1:256" ht="10.5" customHeight="1" x14ac:dyDescent="0.2">
      <c r="A32" s="173"/>
      <c r="B32" s="174"/>
      <c r="C32" s="174"/>
      <c r="D32" s="174"/>
      <c r="E32" s="174"/>
      <c r="F32" s="174"/>
      <c r="G32" s="174"/>
      <c r="H32" s="174"/>
      <c r="I32" s="174"/>
      <c r="J32" s="174"/>
      <c r="K32" s="174"/>
      <c r="L32" s="174"/>
      <c r="M32" s="174"/>
      <c r="N32" s="174"/>
      <c r="O32" s="174"/>
      <c r="P32" s="174"/>
      <c r="Q32" s="174"/>
      <c r="R32" s="174"/>
      <c r="S32" s="174"/>
      <c r="T32" s="174"/>
      <c r="U32" s="174"/>
      <c r="V32" s="175"/>
      <c r="W32" s="134" t="s">
        <v>4</v>
      </c>
      <c r="X32" s="135"/>
      <c r="Y32" s="135"/>
      <c r="Z32" s="135"/>
      <c r="AA32" s="135"/>
      <c r="AB32" s="135"/>
      <c r="AC32" s="135"/>
      <c r="AD32" s="135"/>
      <c r="AE32" s="135"/>
      <c r="AF32" s="136"/>
      <c r="AG32" s="134" t="s">
        <v>5</v>
      </c>
      <c r="AH32" s="135"/>
      <c r="AI32" s="135"/>
      <c r="AJ32" s="136"/>
      <c r="AK32" s="134" t="s">
        <v>6</v>
      </c>
      <c r="AL32" s="135"/>
      <c r="AM32" s="135"/>
      <c r="AN32" s="136"/>
      <c r="AO32" s="134" t="s">
        <v>7</v>
      </c>
      <c r="AP32" s="135"/>
      <c r="AQ32" s="135"/>
      <c r="AR32" s="136"/>
      <c r="AS32" s="198" t="s">
        <v>8</v>
      </c>
      <c r="AT32" s="199"/>
      <c r="AU32" s="199"/>
      <c r="AV32" s="199"/>
      <c r="AW32" s="199"/>
      <c r="AX32" s="199"/>
      <c r="AY32" s="199"/>
      <c r="AZ32" s="199"/>
      <c r="BA32" s="199"/>
      <c r="BB32" s="199"/>
      <c r="BC32" s="199"/>
      <c r="BD32" s="199"/>
      <c r="BE32" s="199"/>
      <c r="BF32" s="199"/>
      <c r="BG32" s="199"/>
      <c r="BH32" s="200"/>
      <c r="BI32" s="134" t="s">
        <v>9</v>
      </c>
      <c r="BJ32" s="135"/>
      <c r="BK32" s="135"/>
      <c r="BL32" s="135"/>
      <c r="BM32" s="135"/>
      <c r="BN32" s="136"/>
    </row>
    <row r="33" spans="1:66" ht="10.5" customHeight="1" x14ac:dyDescent="0.2">
      <c r="A33" s="176"/>
      <c r="B33" s="177"/>
      <c r="C33" s="177"/>
      <c r="D33" s="177"/>
      <c r="E33" s="177"/>
      <c r="F33" s="177"/>
      <c r="G33" s="177"/>
      <c r="H33" s="177"/>
      <c r="I33" s="177"/>
      <c r="J33" s="177"/>
      <c r="K33" s="177"/>
      <c r="L33" s="177"/>
      <c r="M33" s="177"/>
      <c r="N33" s="177"/>
      <c r="O33" s="177"/>
      <c r="P33" s="177"/>
      <c r="Q33" s="177"/>
      <c r="R33" s="177"/>
      <c r="S33" s="177"/>
      <c r="T33" s="177"/>
      <c r="U33" s="177"/>
      <c r="V33" s="178"/>
      <c r="W33" s="167" t="str">
        <f>IF(CONCATENATE(Eingabe!E1," ", Eingabe!E2)="","",CONCATENATE(Eingabe!E1," ", Eingabe!E2))</f>
        <v>xxHELx xx</v>
      </c>
      <c r="X33" s="168"/>
      <c r="Y33" s="168"/>
      <c r="Z33" s="168"/>
      <c r="AA33" s="168"/>
      <c r="AB33" s="168"/>
      <c r="AC33" s="168"/>
      <c r="AD33" s="168"/>
      <c r="AE33" s="168"/>
      <c r="AF33" s="169"/>
      <c r="AG33" s="167" t="str">
        <f>IF(Eingabe!E4="","",Eingabe!E4)</f>
        <v>MusM</v>
      </c>
      <c r="AH33" s="168"/>
      <c r="AI33" s="168"/>
      <c r="AJ33" s="169"/>
      <c r="AK33" s="152" t="str">
        <f>IF(Eingabe!I3="","",Eingabe!I3)</f>
        <v/>
      </c>
      <c r="AL33" s="153"/>
      <c r="AM33" s="153"/>
      <c r="AN33" s="154"/>
      <c r="AO33" s="152" t="str">
        <f>IF(Eingabe!I4="","",Eingabe!I4)</f>
        <v/>
      </c>
      <c r="AP33" s="153"/>
      <c r="AQ33" s="153"/>
      <c r="AR33" s="154"/>
      <c r="AS33" s="139" t="str">
        <f>IF(Eingabe!L1="","",Eingabe!L1)</f>
        <v>Stückliste</v>
      </c>
      <c r="AT33" s="140"/>
      <c r="AU33" s="140"/>
      <c r="AV33" s="140"/>
      <c r="AW33" s="140"/>
      <c r="AX33" s="140"/>
      <c r="AY33" s="140"/>
      <c r="AZ33" s="140"/>
      <c r="BA33" s="140"/>
      <c r="BB33" s="140"/>
      <c r="BC33" s="140"/>
      <c r="BD33" s="140"/>
      <c r="BE33" s="140"/>
      <c r="BF33" s="140"/>
      <c r="BG33" s="140"/>
      <c r="BH33" s="141"/>
      <c r="BI33" s="167" t="str">
        <f>IF(Eingabe!I5="","",Eingabe!I5)</f>
        <v>StrH</v>
      </c>
      <c r="BJ33" s="168"/>
      <c r="BK33" s="168"/>
      <c r="BL33" s="168"/>
      <c r="BM33" s="168"/>
      <c r="BN33" s="169"/>
    </row>
    <row r="34" spans="1:66" ht="10.5" customHeight="1" thickBot="1" x14ac:dyDescent="0.25">
      <c r="A34" s="176"/>
      <c r="B34" s="177"/>
      <c r="C34" s="177"/>
      <c r="D34" s="177"/>
      <c r="E34" s="177"/>
      <c r="F34" s="177"/>
      <c r="G34" s="177"/>
      <c r="H34" s="177"/>
      <c r="I34" s="177"/>
      <c r="J34" s="177"/>
      <c r="K34" s="177"/>
      <c r="L34" s="177"/>
      <c r="M34" s="177"/>
      <c r="N34" s="177"/>
      <c r="O34" s="177"/>
      <c r="P34" s="177"/>
      <c r="Q34" s="177"/>
      <c r="R34" s="177"/>
      <c r="S34" s="177"/>
      <c r="T34" s="177"/>
      <c r="U34" s="177"/>
      <c r="V34" s="178"/>
      <c r="W34" s="170"/>
      <c r="X34" s="171"/>
      <c r="Y34" s="171"/>
      <c r="Z34" s="171"/>
      <c r="AA34" s="171"/>
      <c r="AB34" s="171"/>
      <c r="AC34" s="171"/>
      <c r="AD34" s="171"/>
      <c r="AE34" s="171"/>
      <c r="AF34" s="172"/>
      <c r="AG34" s="170"/>
      <c r="AH34" s="171"/>
      <c r="AI34" s="171"/>
      <c r="AJ34" s="172"/>
      <c r="AK34" s="155"/>
      <c r="AL34" s="156"/>
      <c r="AM34" s="156"/>
      <c r="AN34" s="157"/>
      <c r="AO34" s="155"/>
      <c r="AP34" s="156"/>
      <c r="AQ34" s="156"/>
      <c r="AR34" s="157"/>
      <c r="AS34" s="142"/>
      <c r="AT34" s="143"/>
      <c r="AU34" s="143"/>
      <c r="AV34" s="143"/>
      <c r="AW34" s="143"/>
      <c r="AX34" s="143"/>
      <c r="AY34" s="143"/>
      <c r="AZ34" s="143"/>
      <c r="BA34" s="143"/>
      <c r="BB34" s="143"/>
      <c r="BC34" s="143"/>
      <c r="BD34" s="143"/>
      <c r="BE34" s="143"/>
      <c r="BF34" s="143"/>
      <c r="BG34" s="143"/>
      <c r="BH34" s="144"/>
      <c r="BI34" s="170"/>
      <c r="BJ34" s="171"/>
      <c r="BK34" s="171"/>
      <c r="BL34" s="171"/>
      <c r="BM34" s="171"/>
      <c r="BN34" s="172"/>
    </row>
    <row r="35" spans="1:66" ht="10.5" customHeight="1" x14ac:dyDescent="0.2">
      <c r="A35" s="176"/>
      <c r="B35" s="177"/>
      <c r="C35" s="177"/>
      <c r="D35" s="177"/>
      <c r="E35" s="177"/>
      <c r="F35" s="177"/>
      <c r="G35" s="177"/>
      <c r="H35" s="177"/>
      <c r="I35" s="177"/>
      <c r="J35" s="177"/>
      <c r="K35" s="177"/>
      <c r="L35" s="177"/>
      <c r="M35" s="177"/>
      <c r="N35" s="177"/>
      <c r="O35" s="177"/>
      <c r="P35" s="177"/>
      <c r="Q35" s="177"/>
      <c r="R35" s="177"/>
      <c r="S35" s="177"/>
      <c r="T35" s="177"/>
      <c r="U35" s="177"/>
      <c r="V35" s="178"/>
      <c r="W35" s="134" t="s">
        <v>10</v>
      </c>
      <c r="X35" s="135"/>
      <c r="Y35" s="135"/>
      <c r="Z35" s="135"/>
      <c r="AA35" s="135"/>
      <c r="AB35" s="135"/>
      <c r="AC35" s="135"/>
      <c r="AD35" s="135"/>
      <c r="AE35" s="135"/>
      <c r="AF35" s="135"/>
      <c r="AG35" s="135"/>
      <c r="AH35" s="135"/>
      <c r="AI35" s="135"/>
      <c r="AJ35" s="135"/>
      <c r="AK35" s="135"/>
      <c r="AL35" s="135"/>
      <c r="AM35" s="135"/>
      <c r="AN35" s="135"/>
      <c r="AO35" s="135"/>
      <c r="AP35" s="135"/>
      <c r="AQ35" s="135"/>
      <c r="AR35" s="136"/>
      <c r="AS35" s="134" t="s">
        <v>11</v>
      </c>
      <c r="AT35" s="135"/>
      <c r="AU35" s="135"/>
      <c r="AV35" s="135"/>
      <c r="AW35" s="135"/>
      <c r="AX35" s="135"/>
      <c r="AY35" s="136"/>
      <c r="AZ35" s="134" t="s">
        <v>12</v>
      </c>
      <c r="BA35" s="135"/>
      <c r="BB35" s="135"/>
      <c r="BC35" s="135"/>
      <c r="BD35" s="136"/>
      <c r="BE35" s="134" t="s">
        <v>13</v>
      </c>
      <c r="BF35" s="135"/>
      <c r="BG35" s="135"/>
      <c r="BH35" s="135"/>
      <c r="BI35" s="135"/>
      <c r="BJ35" s="135"/>
      <c r="BK35" s="135"/>
      <c r="BL35" s="135"/>
      <c r="BM35" s="135"/>
      <c r="BN35" s="136"/>
    </row>
    <row r="36" spans="1:66" ht="10.5" customHeight="1" x14ac:dyDescent="0.2">
      <c r="A36" s="176"/>
      <c r="B36" s="177"/>
      <c r="C36" s="177"/>
      <c r="D36" s="177"/>
      <c r="E36" s="177"/>
      <c r="F36" s="177"/>
      <c r="G36" s="177"/>
      <c r="H36" s="177"/>
      <c r="I36" s="177"/>
      <c r="J36" s="177"/>
      <c r="K36" s="177"/>
      <c r="L36" s="177"/>
      <c r="M36" s="177"/>
      <c r="N36" s="177"/>
      <c r="O36" s="177"/>
      <c r="P36" s="177"/>
      <c r="Q36" s="177"/>
      <c r="R36" s="177"/>
      <c r="S36" s="177"/>
      <c r="T36" s="177"/>
      <c r="U36" s="177"/>
      <c r="V36" s="178"/>
      <c r="W36" s="179" t="str">
        <f>IF(Eingabe!E5="","",Eingabe!E5)</f>
        <v>Gemini 4</v>
      </c>
      <c r="X36" s="180"/>
      <c r="Y36" s="180"/>
      <c r="Z36" s="180"/>
      <c r="AA36" s="180"/>
      <c r="AB36" s="180"/>
      <c r="AC36" s="180"/>
      <c r="AD36" s="180"/>
      <c r="AE36" s="180"/>
      <c r="AF36" s="180"/>
      <c r="AG36" s="180"/>
      <c r="AH36" s="180"/>
      <c r="AI36" s="180"/>
      <c r="AJ36" s="180"/>
      <c r="AK36" s="180"/>
      <c r="AL36" s="180"/>
      <c r="AM36" s="180"/>
      <c r="AN36" s="180"/>
      <c r="AO36" s="180"/>
      <c r="AP36" s="180"/>
      <c r="AQ36" s="180"/>
      <c r="AR36" s="181"/>
      <c r="AS36" s="219" t="str">
        <f>IF(Eingabe!L3="","",Eingabe!L3)</f>
        <v>4.4</v>
      </c>
      <c r="AT36" s="193"/>
      <c r="AU36" s="193"/>
      <c r="AV36" s="193"/>
      <c r="AW36" s="193"/>
      <c r="AX36" s="193"/>
      <c r="AY36" s="194"/>
      <c r="AZ36" s="210" t="str">
        <f>IF(Eingabe!L4="","",Eingabe!L4)</f>
        <v>002</v>
      </c>
      <c r="BA36" s="211"/>
      <c r="BB36" s="211"/>
      <c r="BC36" s="211"/>
      <c r="BD36" s="212"/>
      <c r="BE36" s="139" t="str">
        <f>IF(Eingabe!L5="","",Eingabe!L5)</f>
        <v>Fertigung</v>
      </c>
      <c r="BF36" s="140"/>
      <c r="BG36" s="140"/>
      <c r="BH36" s="140"/>
      <c r="BI36" s="140"/>
      <c r="BJ36" s="140"/>
      <c r="BK36" s="140"/>
      <c r="BL36" s="140"/>
      <c r="BM36" s="140"/>
      <c r="BN36" s="141"/>
    </row>
    <row r="37" spans="1:66" ht="10.5" customHeight="1" thickBot="1" x14ac:dyDescent="0.25">
      <c r="A37" s="164" t="s">
        <v>14</v>
      </c>
      <c r="B37" s="165"/>
      <c r="C37" s="165"/>
      <c r="D37" s="165"/>
      <c r="E37" s="165"/>
      <c r="F37" s="165"/>
      <c r="G37" s="165"/>
      <c r="H37" s="165"/>
      <c r="I37" s="165"/>
      <c r="J37" s="165"/>
      <c r="K37" s="165"/>
      <c r="L37" s="165"/>
      <c r="M37" s="165"/>
      <c r="N37" s="165"/>
      <c r="O37" s="165"/>
      <c r="P37" s="165"/>
      <c r="Q37" s="165"/>
      <c r="R37" s="165"/>
      <c r="S37" s="165"/>
      <c r="T37" s="165"/>
      <c r="U37" s="165"/>
      <c r="V37" s="166"/>
      <c r="W37" s="179"/>
      <c r="X37" s="180"/>
      <c r="Y37" s="180"/>
      <c r="Z37" s="180"/>
      <c r="AA37" s="180"/>
      <c r="AB37" s="180"/>
      <c r="AC37" s="180"/>
      <c r="AD37" s="180"/>
      <c r="AE37" s="180"/>
      <c r="AF37" s="180"/>
      <c r="AG37" s="180"/>
      <c r="AH37" s="180"/>
      <c r="AI37" s="180"/>
      <c r="AJ37" s="180"/>
      <c r="AK37" s="180"/>
      <c r="AL37" s="180"/>
      <c r="AM37" s="180"/>
      <c r="AN37" s="180"/>
      <c r="AO37" s="180"/>
      <c r="AP37" s="180"/>
      <c r="AQ37" s="180"/>
      <c r="AR37" s="181"/>
      <c r="AS37" s="195"/>
      <c r="AT37" s="196"/>
      <c r="AU37" s="196"/>
      <c r="AV37" s="196"/>
      <c r="AW37" s="196"/>
      <c r="AX37" s="196"/>
      <c r="AY37" s="197"/>
      <c r="AZ37" s="213"/>
      <c r="BA37" s="214"/>
      <c r="BB37" s="214"/>
      <c r="BC37" s="214"/>
      <c r="BD37" s="215"/>
      <c r="BE37" s="142"/>
      <c r="BF37" s="143"/>
      <c r="BG37" s="143"/>
      <c r="BH37" s="143"/>
      <c r="BI37" s="143"/>
      <c r="BJ37" s="143"/>
      <c r="BK37" s="143"/>
      <c r="BL37" s="143"/>
      <c r="BM37" s="143"/>
      <c r="BN37" s="144"/>
    </row>
    <row r="38" spans="1:66" ht="10.5" customHeight="1" x14ac:dyDescent="0.2">
      <c r="A38" s="164"/>
      <c r="B38" s="165"/>
      <c r="C38" s="165"/>
      <c r="D38" s="165"/>
      <c r="E38" s="165"/>
      <c r="F38" s="165"/>
      <c r="G38" s="165"/>
      <c r="H38" s="165"/>
      <c r="I38" s="165"/>
      <c r="J38" s="165"/>
      <c r="K38" s="165"/>
      <c r="L38" s="165"/>
      <c r="M38" s="165"/>
      <c r="N38" s="165"/>
      <c r="O38" s="165"/>
      <c r="P38" s="165"/>
      <c r="Q38" s="165"/>
      <c r="R38" s="165"/>
      <c r="S38" s="165"/>
      <c r="T38" s="165"/>
      <c r="U38" s="165"/>
      <c r="V38" s="166"/>
      <c r="W38" s="179"/>
      <c r="X38" s="180"/>
      <c r="Y38" s="180"/>
      <c r="Z38" s="180"/>
      <c r="AA38" s="180"/>
      <c r="AB38" s="180"/>
      <c r="AC38" s="180"/>
      <c r="AD38" s="180"/>
      <c r="AE38" s="180"/>
      <c r="AF38" s="180"/>
      <c r="AG38" s="180"/>
      <c r="AH38" s="180"/>
      <c r="AI38" s="180"/>
      <c r="AJ38" s="180"/>
      <c r="AK38" s="180"/>
      <c r="AL38" s="180"/>
      <c r="AM38" s="180"/>
      <c r="AN38" s="180"/>
      <c r="AO38" s="180"/>
      <c r="AP38" s="180"/>
      <c r="AQ38" s="180"/>
      <c r="AR38" s="181"/>
      <c r="AS38" s="216" t="s">
        <v>15</v>
      </c>
      <c r="AT38" s="217"/>
      <c r="AU38" s="217"/>
      <c r="AV38" s="218"/>
      <c r="AW38" s="202" t="s">
        <v>16</v>
      </c>
      <c r="AX38" s="202"/>
      <c r="AY38" s="203"/>
      <c r="AZ38" s="134" t="s">
        <v>17</v>
      </c>
      <c r="BA38" s="135"/>
      <c r="BB38" s="135"/>
      <c r="BC38" s="135"/>
      <c r="BD38" s="135"/>
      <c r="BE38" s="135"/>
      <c r="BF38" s="135"/>
      <c r="BG38" s="135"/>
      <c r="BH38" s="136"/>
      <c r="BI38" s="201" t="s">
        <v>18</v>
      </c>
      <c r="BJ38" s="202"/>
      <c r="BK38" s="203"/>
      <c r="BL38" s="14" t="s">
        <v>19</v>
      </c>
      <c r="BM38" s="15"/>
      <c r="BN38" s="16"/>
    </row>
    <row r="39" spans="1:66" ht="10.5" customHeight="1" x14ac:dyDescent="0.2">
      <c r="A39" s="158" t="str">
        <f>IF(Eingabe!M6="","",Eingabe!M6)</f>
        <v>Technische Informatik</v>
      </c>
      <c r="B39" s="159"/>
      <c r="C39" s="159"/>
      <c r="D39" s="159"/>
      <c r="E39" s="159"/>
      <c r="F39" s="159"/>
      <c r="G39" s="159"/>
      <c r="H39" s="159"/>
      <c r="I39" s="159"/>
      <c r="J39" s="159"/>
      <c r="K39" s="159"/>
      <c r="L39" s="159"/>
      <c r="M39" s="159"/>
      <c r="N39" s="159"/>
      <c r="O39" s="159"/>
      <c r="P39" s="159"/>
      <c r="Q39" s="159"/>
      <c r="R39" s="159"/>
      <c r="S39" s="159"/>
      <c r="T39" s="159"/>
      <c r="U39" s="159"/>
      <c r="V39" s="160"/>
      <c r="W39" s="139" t="str">
        <f>IF(Eingabe!E6="","",Eingabe!E6)</f>
        <v>Entwicklerboard</v>
      </c>
      <c r="X39" s="140"/>
      <c r="Y39" s="140"/>
      <c r="Z39" s="140"/>
      <c r="AA39" s="140"/>
      <c r="AB39" s="140"/>
      <c r="AC39" s="140"/>
      <c r="AD39" s="140"/>
      <c r="AE39" s="140"/>
      <c r="AF39" s="140"/>
      <c r="AG39" s="140"/>
      <c r="AH39" s="140"/>
      <c r="AI39" s="140"/>
      <c r="AJ39" s="140"/>
      <c r="AK39" s="140"/>
      <c r="AL39" s="140"/>
      <c r="AM39" s="140"/>
      <c r="AN39" s="140"/>
      <c r="AO39" s="140"/>
      <c r="AP39" s="140"/>
      <c r="AQ39" s="140"/>
      <c r="AR39" s="141"/>
      <c r="AS39" s="152" t="str">
        <f>IF(Eingabe!L6="","",Eingabe!L6)</f>
        <v>ohne</v>
      </c>
      <c r="AT39" s="153"/>
      <c r="AU39" s="153"/>
      <c r="AV39" s="154"/>
      <c r="AW39" s="168" t="str">
        <f>IF(Eingabe!I6="","",Eingabe!I6)</f>
        <v>DE</v>
      </c>
      <c r="AX39" s="168"/>
      <c r="AY39" s="169"/>
      <c r="AZ39" s="204">
        <f ca="1">IF(Eingabe!L2="","",Eingabe!L2)</f>
        <v>42272</v>
      </c>
      <c r="BA39" s="205"/>
      <c r="BB39" s="205"/>
      <c r="BC39" s="205"/>
      <c r="BD39" s="205"/>
      <c r="BE39" s="205"/>
      <c r="BF39" s="205"/>
      <c r="BG39" s="205"/>
      <c r="BH39" s="206"/>
      <c r="BI39" s="152">
        <v>2</v>
      </c>
      <c r="BJ39" s="153"/>
      <c r="BK39" s="154"/>
      <c r="BL39" s="152">
        <f>(5-(IF(Eingabe!$C$33="","1","0"))-(IF(Eingabe!$C$58="","1","0"))-(IF(Eingabe!$C$83="","1","0"))-(IF(Eingabe!$C$108="","1","0")))</f>
        <v>1</v>
      </c>
      <c r="BM39" s="153"/>
      <c r="BN39" s="154"/>
    </row>
    <row r="40" spans="1:66" ht="10.5" customHeight="1" thickBot="1" x14ac:dyDescent="0.25">
      <c r="A40" s="161"/>
      <c r="B40" s="162"/>
      <c r="C40" s="162"/>
      <c r="D40" s="162"/>
      <c r="E40" s="162"/>
      <c r="F40" s="162"/>
      <c r="G40" s="162"/>
      <c r="H40" s="162"/>
      <c r="I40" s="162"/>
      <c r="J40" s="162"/>
      <c r="K40" s="162"/>
      <c r="L40" s="162"/>
      <c r="M40" s="162"/>
      <c r="N40" s="162"/>
      <c r="O40" s="162"/>
      <c r="P40" s="162"/>
      <c r="Q40" s="162"/>
      <c r="R40" s="162"/>
      <c r="S40" s="162"/>
      <c r="T40" s="162"/>
      <c r="U40" s="162"/>
      <c r="V40" s="163"/>
      <c r="W40" s="142"/>
      <c r="X40" s="143"/>
      <c r="Y40" s="143"/>
      <c r="Z40" s="143"/>
      <c r="AA40" s="143"/>
      <c r="AB40" s="143"/>
      <c r="AC40" s="143"/>
      <c r="AD40" s="143"/>
      <c r="AE40" s="143"/>
      <c r="AF40" s="143"/>
      <c r="AG40" s="143"/>
      <c r="AH40" s="143"/>
      <c r="AI40" s="143"/>
      <c r="AJ40" s="143"/>
      <c r="AK40" s="143"/>
      <c r="AL40" s="143"/>
      <c r="AM40" s="143"/>
      <c r="AN40" s="143"/>
      <c r="AO40" s="143"/>
      <c r="AP40" s="143"/>
      <c r="AQ40" s="143"/>
      <c r="AR40" s="144"/>
      <c r="AS40" s="155"/>
      <c r="AT40" s="156"/>
      <c r="AU40" s="156"/>
      <c r="AV40" s="157"/>
      <c r="AW40" s="171"/>
      <c r="AX40" s="171"/>
      <c r="AY40" s="172"/>
      <c r="AZ40" s="207"/>
      <c r="BA40" s="208"/>
      <c r="BB40" s="208"/>
      <c r="BC40" s="208"/>
      <c r="BD40" s="208"/>
      <c r="BE40" s="208"/>
      <c r="BF40" s="208"/>
      <c r="BG40" s="208"/>
      <c r="BH40" s="209"/>
      <c r="BI40" s="155"/>
      <c r="BJ40" s="156"/>
      <c r="BK40" s="157"/>
      <c r="BL40" s="155"/>
      <c r="BM40" s="156"/>
      <c r="BN40" s="15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4:D4"/>
    <mergeCell ref="AG5:AW5"/>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9:BA19"/>
    <mergeCell ref="BB19:BN19"/>
    <mergeCell ref="AX14:BA14"/>
    <mergeCell ref="BB17:BN17"/>
    <mergeCell ref="BB18:BN18"/>
    <mergeCell ref="AG2:AW3"/>
    <mergeCell ref="BB14:BN14"/>
    <mergeCell ref="AX11:BA11"/>
    <mergeCell ref="BB6:BN6"/>
    <mergeCell ref="BB8:BN8"/>
    <mergeCell ref="BB4:BN4"/>
    <mergeCell ref="BB5:BN5"/>
    <mergeCell ref="AX8:BA8"/>
    <mergeCell ref="BB12:BN12"/>
    <mergeCell ref="AX15:BA15"/>
    <mergeCell ref="BB15:BN15"/>
    <mergeCell ref="BB10:BN10"/>
    <mergeCell ref="AG4:AW4"/>
    <mergeCell ref="AX10:BA10"/>
    <mergeCell ref="AG9:AW9"/>
    <mergeCell ref="AX4:BA4"/>
    <mergeCell ref="AG8:AW8"/>
    <mergeCell ref="M7:AF7"/>
    <mergeCell ref="E4:H4"/>
    <mergeCell ref="I8:L8"/>
    <mergeCell ref="M8:AF8"/>
    <mergeCell ref="E8:H8"/>
    <mergeCell ref="AG15:AW15"/>
    <mergeCell ref="A12:D12"/>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25">
        <v>1</v>
      </c>
      <c r="B1" s="224"/>
      <c r="C1" s="224"/>
      <c r="D1" s="224"/>
      <c r="E1" s="224">
        <v>2</v>
      </c>
      <c r="F1" s="224"/>
      <c r="G1" s="224"/>
      <c r="H1" s="224"/>
      <c r="I1" s="224">
        <v>3</v>
      </c>
      <c r="J1" s="224"/>
      <c r="K1" s="224"/>
      <c r="L1" s="224"/>
      <c r="M1" s="224">
        <v>4</v>
      </c>
      <c r="N1" s="224"/>
      <c r="O1" s="224"/>
      <c r="P1" s="224"/>
      <c r="Q1" s="224"/>
      <c r="R1" s="224"/>
      <c r="S1" s="224"/>
      <c r="T1" s="224"/>
      <c r="U1" s="224"/>
      <c r="V1" s="224"/>
      <c r="W1" s="224"/>
      <c r="X1" s="224"/>
      <c r="Y1" s="224"/>
      <c r="Z1" s="224"/>
      <c r="AA1" s="224"/>
      <c r="AB1" s="224"/>
      <c r="AC1" s="224"/>
      <c r="AD1" s="224"/>
      <c r="AE1" s="224"/>
      <c r="AF1" s="224"/>
      <c r="AG1" s="224">
        <v>5</v>
      </c>
      <c r="AH1" s="224"/>
      <c r="AI1" s="224"/>
      <c r="AJ1" s="224"/>
      <c r="AK1" s="224"/>
      <c r="AL1" s="224"/>
      <c r="AM1" s="224"/>
      <c r="AN1" s="224"/>
      <c r="AO1" s="224"/>
      <c r="AP1" s="224"/>
      <c r="AQ1" s="224"/>
      <c r="AR1" s="224"/>
      <c r="AS1" s="224"/>
      <c r="AT1" s="224"/>
      <c r="AU1" s="224"/>
      <c r="AV1" s="224"/>
      <c r="AW1" s="224"/>
      <c r="AX1" s="224">
        <v>6</v>
      </c>
      <c r="AY1" s="224"/>
      <c r="AZ1" s="224"/>
      <c r="BA1" s="224"/>
      <c r="BB1" s="224">
        <v>7</v>
      </c>
      <c r="BC1" s="224"/>
      <c r="BD1" s="224"/>
      <c r="BE1" s="224"/>
      <c r="BF1" s="224"/>
      <c r="BG1" s="224"/>
      <c r="BH1" s="224"/>
      <c r="BI1" s="224"/>
      <c r="BJ1" s="224"/>
      <c r="BK1" s="224"/>
      <c r="BL1" s="224"/>
      <c r="BM1" s="224"/>
      <c r="BN1" s="234"/>
      <c r="BO1" s="1"/>
    </row>
    <row r="2" spans="1:256" ht="18.75" customHeight="1" x14ac:dyDescent="0.2">
      <c r="A2" s="230" t="str">
        <f>Eingabe!A7</f>
        <v>Lfd. 
Nr.</v>
      </c>
      <c r="B2" s="228"/>
      <c r="C2" s="228"/>
      <c r="D2" s="228"/>
      <c r="E2" s="228" t="str">
        <f>Eingabe!B7</f>
        <v>Stück-
zahl</v>
      </c>
      <c r="F2" s="228"/>
      <c r="G2" s="228"/>
      <c r="H2" s="228"/>
      <c r="I2" s="228" t="str">
        <f>Eingabe!C7</f>
        <v>Ein-
heit</v>
      </c>
      <c r="J2" s="228"/>
      <c r="K2" s="228"/>
      <c r="L2" s="228"/>
      <c r="M2" s="235" t="str">
        <f>Eingabe!D7</f>
        <v>Benennung</v>
      </c>
      <c r="N2" s="235"/>
      <c r="O2" s="235"/>
      <c r="P2" s="235"/>
      <c r="Q2" s="235"/>
      <c r="R2" s="235"/>
      <c r="S2" s="235"/>
      <c r="T2" s="235"/>
      <c r="U2" s="235"/>
      <c r="V2" s="235"/>
      <c r="W2" s="235"/>
      <c r="X2" s="235"/>
      <c r="Y2" s="235"/>
      <c r="Z2" s="235"/>
      <c r="AA2" s="235"/>
      <c r="AB2" s="235"/>
      <c r="AC2" s="235"/>
      <c r="AD2" s="235"/>
      <c r="AE2" s="235"/>
      <c r="AF2" s="235"/>
      <c r="AG2" s="235" t="str">
        <f>Eingabe!F7&amp;" / "&amp;Eingabe!G7</f>
        <v>Lieferant / Bestellnummer</v>
      </c>
      <c r="AH2" s="235"/>
      <c r="AI2" s="235"/>
      <c r="AJ2" s="235"/>
      <c r="AK2" s="235"/>
      <c r="AL2" s="235"/>
      <c r="AM2" s="235"/>
      <c r="AN2" s="235"/>
      <c r="AO2" s="235"/>
      <c r="AP2" s="235"/>
      <c r="AQ2" s="235"/>
      <c r="AR2" s="235"/>
      <c r="AS2" s="235"/>
      <c r="AT2" s="235"/>
      <c r="AU2" s="235"/>
      <c r="AV2" s="235"/>
      <c r="AW2" s="235"/>
      <c r="AX2" s="239" t="str">
        <f>Eingabe!H7</f>
        <v>MCd</v>
      </c>
      <c r="AY2" s="240"/>
      <c r="AZ2" s="240"/>
      <c r="BA2" s="241"/>
      <c r="BB2" s="235" t="str">
        <f>Eingabe!K7</f>
        <v>Bemerkung</v>
      </c>
      <c r="BC2" s="235"/>
      <c r="BD2" s="235"/>
      <c r="BE2" s="235"/>
      <c r="BF2" s="235"/>
      <c r="BG2" s="235"/>
      <c r="BH2" s="235"/>
      <c r="BI2" s="235"/>
      <c r="BJ2" s="235"/>
      <c r="BK2" s="235"/>
      <c r="BL2" s="235"/>
      <c r="BM2" s="235"/>
      <c r="BN2" s="236"/>
      <c r="BO2" s="1"/>
    </row>
    <row r="3" spans="1:256" ht="18.75" customHeight="1" thickBot="1" x14ac:dyDescent="0.25">
      <c r="A3" s="231"/>
      <c r="B3" s="229"/>
      <c r="C3" s="229"/>
      <c r="D3" s="229"/>
      <c r="E3" s="229"/>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c r="AS3" s="229"/>
      <c r="AT3" s="229"/>
      <c r="AU3" s="229"/>
      <c r="AV3" s="229"/>
      <c r="AW3" s="229"/>
      <c r="AX3" s="242"/>
      <c r="AY3" s="243"/>
      <c r="AZ3" s="243"/>
      <c r="BA3" s="244"/>
      <c r="BB3" s="229"/>
      <c r="BC3" s="229"/>
      <c r="BD3" s="229"/>
      <c r="BE3" s="229"/>
      <c r="BF3" s="229"/>
      <c r="BG3" s="229"/>
      <c r="BH3" s="229"/>
      <c r="BI3" s="229"/>
      <c r="BJ3" s="229"/>
      <c r="BK3" s="229"/>
      <c r="BL3" s="229"/>
      <c r="BM3" s="229"/>
      <c r="BN3" s="237"/>
      <c r="BO3" s="1"/>
    </row>
    <row r="4" spans="1:256" s="8" customFormat="1" ht="25.5" customHeight="1" x14ac:dyDescent="0.2">
      <c r="A4" s="226" t="str">
        <f>IF(Eingabe!A58="","",Eingabe!A58)</f>
        <v/>
      </c>
      <c r="B4" s="227"/>
      <c r="C4" s="227"/>
      <c r="D4" s="227"/>
      <c r="E4" s="227" t="str">
        <f>IF(Eingabe!B58="","",Eingabe!B58)</f>
        <v/>
      </c>
      <c r="F4" s="227"/>
      <c r="G4" s="227"/>
      <c r="H4" s="227"/>
      <c r="I4" s="223" t="str">
        <f>IF(Eingabe!C58="","",Eingabe!C58)</f>
        <v/>
      </c>
      <c r="J4" s="223"/>
      <c r="K4" s="223"/>
      <c r="L4" s="223"/>
      <c r="M4" s="245" t="str">
        <f>IF(Eingabe!D58&amp;""&amp;Eingabe!E58="","",Eingabe!D58&amp;" 
"&amp;Eingabe!E58)</f>
        <v/>
      </c>
      <c r="N4" s="245"/>
      <c r="O4" s="245"/>
      <c r="P4" s="245"/>
      <c r="Q4" s="245"/>
      <c r="R4" s="245"/>
      <c r="S4" s="245"/>
      <c r="T4" s="245"/>
      <c r="U4" s="245"/>
      <c r="V4" s="245"/>
      <c r="W4" s="245"/>
      <c r="X4" s="245"/>
      <c r="Y4" s="245"/>
      <c r="Z4" s="245"/>
      <c r="AA4" s="245"/>
      <c r="AB4" s="245"/>
      <c r="AC4" s="245"/>
      <c r="AD4" s="245"/>
      <c r="AE4" s="245"/>
      <c r="AF4" s="245"/>
      <c r="AG4" s="223" t="str">
        <f>IF(Eingabe!F58&amp;""&amp;Eingabe!G58="","",Eingabe!F58&amp;" 
"&amp;Eingabe!G58)</f>
        <v/>
      </c>
      <c r="AH4" s="223"/>
      <c r="AI4" s="223"/>
      <c r="AJ4" s="223"/>
      <c r="AK4" s="223"/>
      <c r="AL4" s="223"/>
      <c r="AM4" s="223"/>
      <c r="AN4" s="223"/>
      <c r="AO4" s="223"/>
      <c r="AP4" s="223"/>
      <c r="AQ4" s="223"/>
      <c r="AR4" s="223"/>
      <c r="AS4" s="223"/>
      <c r="AT4" s="223"/>
      <c r="AU4" s="223"/>
      <c r="AV4" s="223"/>
      <c r="AW4" s="223"/>
      <c r="AX4" s="223" t="str">
        <f>IF(Eingabe!H58="","",Eingabe!H58)</f>
        <v/>
      </c>
      <c r="AY4" s="223"/>
      <c r="AZ4" s="223"/>
      <c r="BA4" s="223"/>
      <c r="BB4" s="223" t="str">
        <f>IF(Eingabe!K58="","",Eingabe!K58)</f>
        <v/>
      </c>
      <c r="BC4" s="223"/>
      <c r="BD4" s="223"/>
      <c r="BE4" s="223"/>
      <c r="BF4" s="223"/>
      <c r="BG4" s="223"/>
      <c r="BH4" s="223"/>
      <c r="BI4" s="223"/>
      <c r="BJ4" s="223"/>
      <c r="BK4" s="223"/>
      <c r="BL4" s="223"/>
      <c r="BM4" s="223"/>
      <c r="BN4" s="238"/>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22" t="str">
        <f>IF(Eingabe!A59="","",Eingabe!A59)</f>
        <v/>
      </c>
      <c r="B5" s="145"/>
      <c r="C5" s="145"/>
      <c r="D5" s="145"/>
      <c r="E5" s="145" t="str">
        <f>IF(Eingabe!B59="","",Eingabe!B59)</f>
        <v/>
      </c>
      <c r="F5" s="145"/>
      <c r="G5" s="145"/>
      <c r="H5" s="145"/>
      <c r="I5" s="137" t="str">
        <f>IF(Eingabe!C59="","",Eingabe!C59)</f>
        <v/>
      </c>
      <c r="J5" s="137"/>
      <c r="K5" s="137"/>
      <c r="L5" s="137"/>
      <c r="M5" s="232" t="str">
        <f>IF(Eingabe!D59&amp;""&amp;Eingabe!E59="","",Eingabe!D59&amp;" 
"&amp;Eingabe!E59)</f>
        <v/>
      </c>
      <c r="N5" s="232"/>
      <c r="O5" s="232"/>
      <c r="P5" s="232"/>
      <c r="Q5" s="232"/>
      <c r="R5" s="232"/>
      <c r="S5" s="232"/>
      <c r="T5" s="232"/>
      <c r="U5" s="232"/>
      <c r="V5" s="232"/>
      <c r="W5" s="232"/>
      <c r="X5" s="232"/>
      <c r="Y5" s="232"/>
      <c r="Z5" s="232"/>
      <c r="AA5" s="232"/>
      <c r="AB5" s="232"/>
      <c r="AC5" s="232"/>
      <c r="AD5" s="232"/>
      <c r="AE5" s="232"/>
      <c r="AF5" s="232"/>
      <c r="AG5" s="137" t="str">
        <f>IF(Eingabe!F59&amp;""&amp;Eingabe!G59="","",Eingabe!F59&amp;" 
"&amp;Eingabe!G59)</f>
        <v/>
      </c>
      <c r="AH5" s="137"/>
      <c r="AI5" s="137"/>
      <c r="AJ5" s="137"/>
      <c r="AK5" s="137"/>
      <c r="AL5" s="137"/>
      <c r="AM5" s="137"/>
      <c r="AN5" s="137"/>
      <c r="AO5" s="137"/>
      <c r="AP5" s="137"/>
      <c r="AQ5" s="137"/>
      <c r="AR5" s="137"/>
      <c r="AS5" s="137"/>
      <c r="AT5" s="137"/>
      <c r="AU5" s="137"/>
      <c r="AV5" s="137"/>
      <c r="AW5" s="137"/>
      <c r="AX5" s="137" t="str">
        <f>IF(Eingabe!H59="","",Eingabe!H59)</f>
        <v/>
      </c>
      <c r="AY5" s="137"/>
      <c r="AZ5" s="137"/>
      <c r="BA5" s="137"/>
      <c r="BB5" s="137" t="str">
        <f>IF(Eingabe!K59="","",Eingabe!K59)</f>
        <v/>
      </c>
      <c r="BC5" s="137"/>
      <c r="BD5" s="137"/>
      <c r="BE5" s="137"/>
      <c r="BF5" s="137"/>
      <c r="BG5" s="137"/>
      <c r="BH5" s="137"/>
      <c r="BI5" s="137"/>
      <c r="BJ5" s="137"/>
      <c r="BK5" s="137"/>
      <c r="BL5" s="137"/>
      <c r="BM5" s="137"/>
      <c r="BN5" s="138"/>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22" t="str">
        <f>IF(Eingabe!A60="","",Eingabe!A60)</f>
        <v/>
      </c>
      <c r="B6" s="145"/>
      <c r="C6" s="145"/>
      <c r="D6" s="145"/>
      <c r="E6" s="145" t="str">
        <f>IF(Eingabe!B60="","",Eingabe!B60)</f>
        <v/>
      </c>
      <c r="F6" s="145"/>
      <c r="G6" s="145"/>
      <c r="H6" s="145"/>
      <c r="I6" s="137" t="str">
        <f>IF(Eingabe!C60="","",Eingabe!C60)</f>
        <v/>
      </c>
      <c r="J6" s="137"/>
      <c r="K6" s="137"/>
      <c r="L6" s="137"/>
      <c r="M6" s="232" t="str">
        <f>IF(Eingabe!D60&amp;""&amp;Eingabe!E60="","",Eingabe!D60&amp;" 
"&amp;Eingabe!E60)</f>
        <v/>
      </c>
      <c r="N6" s="232"/>
      <c r="O6" s="232"/>
      <c r="P6" s="232"/>
      <c r="Q6" s="232"/>
      <c r="R6" s="232"/>
      <c r="S6" s="232"/>
      <c r="T6" s="232"/>
      <c r="U6" s="232"/>
      <c r="V6" s="232"/>
      <c r="W6" s="232"/>
      <c r="X6" s="232"/>
      <c r="Y6" s="232"/>
      <c r="Z6" s="232"/>
      <c r="AA6" s="232"/>
      <c r="AB6" s="232"/>
      <c r="AC6" s="232"/>
      <c r="AD6" s="232"/>
      <c r="AE6" s="232"/>
      <c r="AF6" s="232"/>
      <c r="AG6" s="137" t="str">
        <f>IF(Eingabe!F60&amp;""&amp;Eingabe!G60="","",Eingabe!F60&amp;" 
"&amp;Eingabe!G60)</f>
        <v/>
      </c>
      <c r="AH6" s="137"/>
      <c r="AI6" s="137"/>
      <c r="AJ6" s="137"/>
      <c r="AK6" s="137"/>
      <c r="AL6" s="137"/>
      <c r="AM6" s="137"/>
      <c r="AN6" s="137"/>
      <c r="AO6" s="137"/>
      <c r="AP6" s="137"/>
      <c r="AQ6" s="137"/>
      <c r="AR6" s="137"/>
      <c r="AS6" s="137"/>
      <c r="AT6" s="137"/>
      <c r="AU6" s="137"/>
      <c r="AV6" s="137"/>
      <c r="AW6" s="137"/>
      <c r="AX6" s="137" t="str">
        <f>IF(Eingabe!H60="","",Eingabe!H60)</f>
        <v/>
      </c>
      <c r="AY6" s="137"/>
      <c r="AZ6" s="137"/>
      <c r="BA6" s="137"/>
      <c r="BB6" s="137" t="str">
        <f>IF(Eingabe!K60="","",Eingabe!K60)</f>
        <v/>
      </c>
      <c r="BC6" s="137"/>
      <c r="BD6" s="137"/>
      <c r="BE6" s="137"/>
      <c r="BF6" s="137"/>
      <c r="BG6" s="137"/>
      <c r="BH6" s="137"/>
      <c r="BI6" s="137"/>
      <c r="BJ6" s="137"/>
      <c r="BK6" s="137"/>
      <c r="BL6" s="137"/>
      <c r="BM6" s="137"/>
      <c r="BN6" s="138"/>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22" t="str">
        <f>IF(Eingabe!A61="","",Eingabe!A61)</f>
        <v/>
      </c>
      <c r="B7" s="145"/>
      <c r="C7" s="145"/>
      <c r="D7" s="145"/>
      <c r="E7" s="145" t="str">
        <f>IF(Eingabe!B61="","",Eingabe!B61)</f>
        <v/>
      </c>
      <c r="F7" s="145"/>
      <c r="G7" s="145"/>
      <c r="H7" s="145"/>
      <c r="I7" s="137" t="str">
        <f>IF(Eingabe!C61="","",Eingabe!C61)</f>
        <v/>
      </c>
      <c r="J7" s="137"/>
      <c r="K7" s="137"/>
      <c r="L7" s="137"/>
      <c r="M7" s="232" t="str">
        <f>IF(Eingabe!D61&amp;""&amp;Eingabe!E61="","",Eingabe!D61&amp;" 
"&amp;Eingabe!E61)</f>
        <v/>
      </c>
      <c r="N7" s="232"/>
      <c r="O7" s="232"/>
      <c r="P7" s="232"/>
      <c r="Q7" s="232"/>
      <c r="R7" s="232"/>
      <c r="S7" s="232"/>
      <c r="T7" s="232"/>
      <c r="U7" s="232"/>
      <c r="V7" s="232"/>
      <c r="W7" s="232"/>
      <c r="X7" s="232"/>
      <c r="Y7" s="232"/>
      <c r="Z7" s="232"/>
      <c r="AA7" s="232"/>
      <c r="AB7" s="232"/>
      <c r="AC7" s="232"/>
      <c r="AD7" s="232"/>
      <c r="AE7" s="232"/>
      <c r="AF7" s="232"/>
      <c r="AG7" s="137" t="str">
        <f>IF(Eingabe!F61&amp;""&amp;Eingabe!G61="","",Eingabe!F61&amp;" 
"&amp;Eingabe!G61)</f>
        <v/>
      </c>
      <c r="AH7" s="137"/>
      <c r="AI7" s="137"/>
      <c r="AJ7" s="137"/>
      <c r="AK7" s="137"/>
      <c r="AL7" s="137"/>
      <c r="AM7" s="137"/>
      <c r="AN7" s="137"/>
      <c r="AO7" s="137"/>
      <c r="AP7" s="137"/>
      <c r="AQ7" s="137"/>
      <c r="AR7" s="137"/>
      <c r="AS7" s="137"/>
      <c r="AT7" s="137"/>
      <c r="AU7" s="137"/>
      <c r="AV7" s="137"/>
      <c r="AW7" s="137"/>
      <c r="AX7" s="137" t="str">
        <f>IF(Eingabe!H61="","",Eingabe!H61)</f>
        <v/>
      </c>
      <c r="AY7" s="137"/>
      <c r="AZ7" s="137"/>
      <c r="BA7" s="137"/>
      <c r="BB7" s="137" t="str">
        <f>IF(Eingabe!K61="","",Eingabe!K61)</f>
        <v/>
      </c>
      <c r="BC7" s="137"/>
      <c r="BD7" s="137"/>
      <c r="BE7" s="137"/>
      <c r="BF7" s="137"/>
      <c r="BG7" s="137"/>
      <c r="BH7" s="137"/>
      <c r="BI7" s="137"/>
      <c r="BJ7" s="137"/>
      <c r="BK7" s="137"/>
      <c r="BL7" s="137"/>
      <c r="BM7" s="137"/>
      <c r="BN7" s="138"/>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22" t="str">
        <f>IF(Eingabe!A62="","",Eingabe!A62)</f>
        <v/>
      </c>
      <c r="B8" s="145"/>
      <c r="C8" s="145"/>
      <c r="D8" s="145"/>
      <c r="E8" s="145" t="str">
        <f>IF(Eingabe!B62="","",Eingabe!B62)</f>
        <v/>
      </c>
      <c r="F8" s="145"/>
      <c r="G8" s="145"/>
      <c r="H8" s="145"/>
      <c r="I8" s="137" t="str">
        <f>IF(Eingabe!C62="","",Eingabe!C62)</f>
        <v/>
      </c>
      <c r="J8" s="137"/>
      <c r="K8" s="137"/>
      <c r="L8" s="137"/>
      <c r="M8" s="232" t="str">
        <f>IF(Eingabe!D62&amp;""&amp;Eingabe!E62="","",Eingabe!D62&amp;" 
"&amp;Eingabe!E62)</f>
        <v/>
      </c>
      <c r="N8" s="232"/>
      <c r="O8" s="232"/>
      <c r="P8" s="232"/>
      <c r="Q8" s="232"/>
      <c r="R8" s="232"/>
      <c r="S8" s="232"/>
      <c r="T8" s="232"/>
      <c r="U8" s="232"/>
      <c r="V8" s="232"/>
      <c r="W8" s="232"/>
      <c r="X8" s="232"/>
      <c r="Y8" s="232"/>
      <c r="Z8" s="232"/>
      <c r="AA8" s="232"/>
      <c r="AB8" s="232"/>
      <c r="AC8" s="232"/>
      <c r="AD8" s="232"/>
      <c r="AE8" s="232"/>
      <c r="AF8" s="232"/>
      <c r="AG8" s="137" t="str">
        <f>IF(Eingabe!F62&amp;""&amp;Eingabe!G62="","",Eingabe!F62&amp;" 
"&amp;Eingabe!G62)</f>
        <v/>
      </c>
      <c r="AH8" s="137"/>
      <c r="AI8" s="137"/>
      <c r="AJ8" s="137"/>
      <c r="AK8" s="137"/>
      <c r="AL8" s="137"/>
      <c r="AM8" s="137"/>
      <c r="AN8" s="137"/>
      <c r="AO8" s="137"/>
      <c r="AP8" s="137"/>
      <c r="AQ8" s="137"/>
      <c r="AR8" s="137"/>
      <c r="AS8" s="137"/>
      <c r="AT8" s="137"/>
      <c r="AU8" s="137"/>
      <c r="AV8" s="137"/>
      <c r="AW8" s="137"/>
      <c r="AX8" s="137" t="str">
        <f>IF(Eingabe!H62="","",Eingabe!H62)</f>
        <v/>
      </c>
      <c r="AY8" s="137"/>
      <c r="AZ8" s="137"/>
      <c r="BA8" s="137"/>
      <c r="BB8" s="137" t="str">
        <f>IF(Eingabe!K62="","",Eingabe!K62)</f>
        <v/>
      </c>
      <c r="BC8" s="137"/>
      <c r="BD8" s="137"/>
      <c r="BE8" s="137"/>
      <c r="BF8" s="137"/>
      <c r="BG8" s="137"/>
      <c r="BH8" s="137"/>
      <c r="BI8" s="137"/>
      <c r="BJ8" s="137"/>
      <c r="BK8" s="137"/>
      <c r="BL8" s="137"/>
      <c r="BM8" s="137"/>
      <c r="BN8" s="138"/>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22" t="str">
        <f>IF(Eingabe!A63="","",Eingabe!A63)</f>
        <v/>
      </c>
      <c r="B9" s="145"/>
      <c r="C9" s="145"/>
      <c r="D9" s="145"/>
      <c r="E9" s="145" t="str">
        <f>IF(Eingabe!B63="","",Eingabe!B63)</f>
        <v/>
      </c>
      <c r="F9" s="145"/>
      <c r="G9" s="145"/>
      <c r="H9" s="145"/>
      <c r="I9" s="137" t="str">
        <f>IF(Eingabe!C63="","",Eingabe!C63)</f>
        <v/>
      </c>
      <c r="J9" s="137"/>
      <c r="K9" s="137"/>
      <c r="L9" s="137"/>
      <c r="M9" s="232" t="str">
        <f>IF(Eingabe!D63&amp;""&amp;Eingabe!E63="","",Eingabe!D63&amp;" 
"&amp;Eingabe!E63)</f>
        <v/>
      </c>
      <c r="N9" s="232"/>
      <c r="O9" s="232"/>
      <c r="P9" s="232"/>
      <c r="Q9" s="232"/>
      <c r="R9" s="232"/>
      <c r="S9" s="232"/>
      <c r="T9" s="232"/>
      <c r="U9" s="232"/>
      <c r="V9" s="232"/>
      <c r="W9" s="232"/>
      <c r="X9" s="232"/>
      <c r="Y9" s="232"/>
      <c r="Z9" s="232"/>
      <c r="AA9" s="232"/>
      <c r="AB9" s="232"/>
      <c r="AC9" s="232"/>
      <c r="AD9" s="232"/>
      <c r="AE9" s="232"/>
      <c r="AF9" s="232"/>
      <c r="AG9" s="137" t="str">
        <f>IF(Eingabe!F63&amp;""&amp;Eingabe!G63="","",Eingabe!F63&amp;" 
"&amp;Eingabe!G63)</f>
        <v/>
      </c>
      <c r="AH9" s="137"/>
      <c r="AI9" s="137"/>
      <c r="AJ9" s="137"/>
      <c r="AK9" s="137"/>
      <c r="AL9" s="137"/>
      <c r="AM9" s="137"/>
      <c r="AN9" s="137"/>
      <c r="AO9" s="137"/>
      <c r="AP9" s="137"/>
      <c r="AQ9" s="137"/>
      <c r="AR9" s="137"/>
      <c r="AS9" s="137"/>
      <c r="AT9" s="137"/>
      <c r="AU9" s="137"/>
      <c r="AV9" s="137"/>
      <c r="AW9" s="137"/>
      <c r="AX9" s="137" t="str">
        <f>IF(Eingabe!H63="","",Eingabe!H63)</f>
        <v/>
      </c>
      <c r="AY9" s="137"/>
      <c r="AZ9" s="137"/>
      <c r="BA9" s="137"/>
      <c r="BB9" s="137" t="str">
        <f>IF(Eingabe!K63="","",Eingabe!K63)</f>
        <v/>
      </c>
      <c r="BC9" s="137"/>
      <c r="BD9" s="137"/>
      <c r="BE9" s="137"/>
      <c r="BF9" s="137"/>
      <c r="BG9" s="137"/>
      <c r="BH9" s="137"/>
      <c r="BI9" s="137"/>
      <c r="BJ9" s="137"/>
      <c r="BK9" s="137"/>
      <c r="BL9" s="137"/>
      <c r="BM9" s="137"/>
      <c r="BN9" s="138"/>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22" t="str">
        <f>IF(Eingabe!A64="","",Eingabe!A64)</f>
        <v/>
      </c>
      <c r="B10" s="145"/>
      <c r="C10" s="145"/>
      <c r="D10" s="145"/>
      <c r="E10" s="145" t="str">
        <f>IF(Eingabe!B64="","",Eingabe!B64)</f>
        <v/>
      </c>
      <c r="F10" s="145"/>
      <c r="G10" s="145"/>
      <c r="H10" s="145"/>
      <c r="I10" s="137" t="str">
        <f>IF(Eingabe!C64="","",Eingabe!C64)</f>
        <v/>
      </c>
      <c r="J10" s="137"/>
      <c r="K10" s="137"/>
      <c r="L10" s="137"/>
      <c r="M10" s="232" t="str">
        <f>IF(Eingabe!D64&amp;""&amp;Eingabe!E64="","",Eingabe!D64&amp;" 
"&amp;Eingabe!E64)</f>
        <v/>
      </c>
      <c r="N10" s="232"/>
      <c r="O10" s="232"/>
      <c r="P10" s="232"/>
      <c r="Q10" s="232"/>
      <c r="R10" s="232"/>
      <c r="S10" s="232"/>
      <c r="T10" s="232"/>
      <c r="U10" s="232"/>
      <c r="V10" s="232"/>
      <c r="W10" s="232"/>
      <c r="X10" s="232"/>
      <c r="Y10" s="232"/>
      <c r="Z10" s="232"/>
      <c r="AA10" s="232"/>
      <c r="AB10" s="232"/>
      <c r="AC10" s="232"/>
      <c r="AD10" s="232"/>
      <c r="AE10" s="232"/>
      <c r="AF10" s="232"/>
      <c r="AG10" s="137" t="str">
        <f>IF(Eingabe!F64&amp;""&amp;Eingabe!G64="","",Eingabe!F64&amp;" 
"&amp;Eingabe!G64)</f>
        <v/>
      </c>
      <c r="AH10" s="137"/>
      <c r="AI10" s="137"/>
      <c r="AJ10" s="137"/>
      <c r="AK10" s="137"/>
      <c r="AL10" s="137"/>
      <c r="AM10" s="137"/>
      <c r="AN10" s="137"/>
      <c r="AO10" s="137"/>
      <c r="AP10" s="137"/>
      <c r="AQ10" s="137"/>
      <c r="AR10" s="137"/>
      <c r="AS10" s="137"/>
      <c r="AT10" s="137"/>
      <c r="AU10" s="137"/>
      <c r="AV10" s="137"/>
      <c r="AW10" s="137"/>
      <c r="AX10" s="137" t="str">
        <f>IF(Eingabe!H64="","",Eingabe!H64)</f>
        <v/>
      </c>
      <c r="AY10" s="137"/>
      <c r="AZ10" s="137"/>
      <c r="BA10" s="137"/>
      <c r="BB10" s="137" t="str">
        <f>IF(Eingabe!K64="","",Eingabe!K64)</f>
        <v/>
      </c>
      <c r="BC10" s="137"/>
      <c r="BD10" s="137"/>
      <c r="BE10" s="137"/>
      <c r="BF10" s="137"/>
      <c r="BG10" s="137"/>
      <c r="BH10" s="137"/>
      <c r="BI10" s="137"/>
      <c r="BJ10" s="137"/>
      <c r="BK10" s="137"/>
      <c r="BL10" s="137"/>
      <c r="BM10" s="137"/>
      <c r="BN10" s="138"/>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22" t="str">
        <f>IF(Eingabe!A65="","",Eingabe!A65)</f>
        <v/>
      </c>
      <c r="B11" s="145"/>
      <c r="C11" s="145"/>
      <c r="D11" s="145"/>
      <c r="E11" s="145" t="str">
        <f>IF(Eingabe!B65="","",Eingabe!B65)</f>
        <v/>
      </c>
      <c r="F11" s="145"/>
      <c r="G11" s="145"/>
      <c r="H11" s="145"/>
      <c r="I11" s="137" t="str">
        <f>IF(Eingabe!C65="","",Eingabe!C65)</f>
        <v/>
      </c>
      <c r="J11" s="137"/>
      <c r="K11" s="137"/>
      <c r="L11" s="137"/>
      <c r="M11" s="232" t="str">
        <f>IF(Eingabe!D65&amp;""&amp;Eingabe!E65="","",Eingabe!D65&amp;" 
"&amp;Eingabe!E65)</f>
        <v/>
      </c>
      <c r="N11" s="232"/>
      <c r="O11" s="232"/>
      <c r="P11" s="232"/>
      <c r="Q11" s="232"/>
      <c r="R11" s="232"/>
      <c r="S11" s="232"/>
      <c r="T11" s="232"/>
      <c r="U11" s="232"/>
      <c r="V11" s="232"/>
      <c r="W11" s="232"/>
      <c r="X11" s="232"/>
      <c r="Y11" s="232"/>
      <c r="Z11" s="232"/>
      <c r="AA11" s="232"/>
      <c r="AB11" s="232"/>
      <c r="AC11" s="232"/>
      <c r="AD11" s="232"/>
      <c r="AE11" s="232"/>
      <c r="AF11" s="232"/>
      <c r="AG11" s="137" t="str">
        <f>IF(Eingabe!F65&amp;""&amp;Eingabe!G65="","",Eingabe!F65&amp;" 
"&amp;Eingabe!G65)</f>
        <v/>
      </c>
      <c r="AH11" s="137"/>
      <c r="AI11" s="137"/>
      <c r="AJ11" s="137"/>
      <c r="AK11" s="137"/>
      <c r="AL11" s="137"/>
      <c r="AM11" s="137"/>
      <c r="AN11" s="137"/>
      <c r="AO11" s="137"/>
      <c r="AP11" s="137"/>
      <c r="AQ11" s="137"/>
      <c r="AR11" s="137"/>
      <c r="AS11" s="137"/>
      <c r="AT11" s="137"/>
      <c r="AU11" s="137"/>
      <c r="AV11" s="137"/>
      <c r="AW11" s="137"/>
      <c r="AX11" s="137" t="str">
        <f>IF(Eingabe!H65="","",Eingabe!H65)</f>
        <v/>
      </c>
      <c r="AY11" s="137"/>
      <c r="AZ11" s="137"/>
      <c r="BA11" s="137"/>
      <c r="BB11" s="137" t="str">
        <f>IF(Eingabe!K65="","",Eingabe!K65)</f>
        <v/>
      </c>
      <c r="BC11" s="137"/>
      <c r="BD11" s="137"/>
      <c r="BE11" s="137"/>
      <c r="BF11" s="137"/>
      <c r="BG11" s="137"/>
      <c r="BH11" s="137"/>
      <c r="BI11" s="137"/>
      <c r="BJ11" s="137"/>
      <c r="BK11" s="137"/>
      <c r="BL11" s="137"/>
      <c r="BM11" s="137"/>
      <c r="BN11" s="138"/>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22" t="str">
        <f>IF(Eingabe!A66="","",Eingabe!A66)</f>
        <v/>
      </c>
      <c r="B12" s="145"/>
      <c r="C12" s="145"/>
      <c r="D12" s="145"/>
      <c r="E12" s="145" t="str">
        <f>IF(Eingabe!B66="","",Eingabe!B66)</f>
        <v/>
      </c>
      <c r="F12" s="145"/>
      <c r="G12" s="145"/>
      <c r="H12" s="145"/>
      <c r="I12" s="137" t="str">
        <f>IF(Eingabe!C66="","",Eingabe!C66)</f>
        <v/>
      </c>
      <c r="J12" s="137"/>
      <c r="K12" s="137"/>
      <c r="L12" s="137"/>
      <c r="M12" s="232" t="str">
        <f>IF(Eingabe!D66&amp;""&amp;Eingabe!E66="","",Eingabe!D66&amp;" 
"&amp;Eingabe!E66)</f>
        <v/>
      </c>
      <c r="N12" s="232"/>
      <c r="O12" s="232"/>
      <c r="P12" s="232"/>
      <c r="Q12" s="232"/>
      <c r="R12" s="232"/>
      <c r="S12" s="232"/>
      <c r="T12" s="232"/>
      <c r="U12" s="232"/>
      <c r="V12" s="232"/>
      <c r="W12" s="232"/>
      <c r="X12" s="232"/>
      <c r="Y12" s="232"/>
      <c r="Z12" s="232"/>
      <c r="AA12" s="232"/>
      <c r="AB12" s="232"/>
      <c r="AC12" s="232"/>
      <c r="AD12" s="232"/>
      <c r="AE12" s="232"/>
      <c r="AF12" s="232"/>
      <c r="AG12" s="137" t="str">
        <f>IF(Eingabe!F66&amp;""&amp;Eingabe!G66="","",Eingabe!F66&amp;" 
"&amp;Eingabe!G66)</f>
        <v/>
      </c>
      <c r="AH12" s="137"/>
      <c r="AI12" s="137"/>
      <c r="AJ12" s="137"/>
      <c r="AK12" s="137"/>
      <c r="AL12" s="137"/>
      <c r="AM12" s="137"/>
      <c r="AN12" s="137"/>
      <c r="AO12" s="137"/>
      <c r="AP12" s="137"/>
      <c r="AQ12" s="137"/>
      <c r="AR12" s="137"/>
      <c r="AS12" s="137"/>
      <c r="AT12" s="137"/>
      <c r="AU12" s="137"/>
      <c r="AV12" s="137"/>
      <c r="AW12" s="137"/>
      <c r="AX12" s="137" t="str">
        <f>IF(Eingabe!H66="","",Eingabe!H66)</f>
        <v/>
      </c>
      <c r="AY12" s="137"/>
      <c r="AZ12" s="137"/>
      <c r="BA12" s="137"/>
      <c r="BB12" s="137" t="str">
        <f>IF(Eingabe!K66="","",Eingabe!K66)</f>
        <v/>
      </c>
      <c r="BC12" s="137"/>
      <c r="BD12" s="137"/>
      <c r="BE12" s="137"/>
      <c r="BF12" s="137"/>
      <c r="BG12" s="137"/>
      <c r="BH12" s="137"/>
      <c r="BI12" s="137"/>
      <c r="BJ12" s="137"/>
      <c r="BK12" s="137"/>
      <c r="BL12" s="137"/>
      <c r="BM12" s="137"/>
      <c r="BN12" s="138"/>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22" t="str">
        <f>IF(Eingabe!A67="","",Eingabe!A67)</f>
        <v/>
      </c>
      <c r="B13" s="145"/>
      <c r="C13" s="145"/>
      <c r="D13" s="145"/>
      <c r="E13" s="145" t="str">
        <f>IF(Eingabe!B67="","",Eingabe!B67)</f>
        <v/>
      </c>
      <c r="F13" s="145"/>
      <c r="G13" s="145"/>
      <c r="H13" s="145"/>
      <c r="I13" s="137" t="str">
        <f>IF(Eingabe!C67="","",Eingabe!C67)</f>
        <v/>
      </c>
      <c r="J13" s="137"/>
      <c r="K13" s="137"/>
      <c r="L13" s="137"/>
      <c r="M13" s="232" t="str">
        <f>IF(Eingabe!D67&amp;""&amp;Eingabe!E67="","",Eingabe!D67&amp;" 
"&amp;Eingabe!E67)</f>
        <v/>
      </c>
      <c r="N13" s="232"/>
      <c r="O13" s="232"/>
      <c r="P13" s="232"/>
      <c r="Q13" s="232"/>
      <c r="R13" s="232"/>
      <c r="S13" s="232"/>
      <c r="T13" s="232"/>
      <c r="U13" s="232"/>
      <c r="V13" s="232"/>
      <c r="W13" s="232"/>
      <c r="X13" s="232"/>
      <c r="Y13" s="232"/>
      <c r="Z13" s="232"/>
      <c r="AA13" s="232"/>
      <c r="AB13" s="232"/>
      <c r="AC13" s="232"/>
      <c r="AD13" s="232"/>
      <c r="AE13" s="232"/>
      <c r="AF13" s="232"/>
      <c r="AG13" s="137" t="str">
        <f>IF(Eingabe!F67&amp;""&amp;Eingabe!G67="","",Eingabe!F67&amp;" 
"&amp;Eingabe!G67)</f>
        <v/>
      </c>
      <c r="AH13" s="137"/>
      <c r="AI13" s="137"/>
      <c r="AJ13" s="137"/>
      <c r="AK13" s="137"/>
      <c r="AL13" s="137"/>
      <c r="AM13" s="137"/>
      <c r="AN13" s="137"/>
      <c r="AO13" s="137"/>
      <c r="AP13" s="137"/>
      <c r="AQ13" s="137"/>
      <c r="AR13" s="137"/>
      <c r="AS13" s="137"/>
      <c r="AT13" s="137"/>
      <c r="AU13" s="137"/>
      <c r="AV13" s="137"/>
      <c r="AW13" s="137"/>
      <c r="AX13" s="137" t="str">
        <f>IF(Eingabe!H67="","",Eingabe!H67)</f>
        <v/>
      </c>
      <c r="AY13" s="137"/>
      <c r="AZ13" s="137"/>
      <c r="BA13" s="137"/>
      <c r="BB13" s="137" t="str">
        <f>IF(Eingabe!K67="","",Eingabe!K67)</f>
        <v/>
      </c>
      <c r="BC13" s="137"/>
      <c r="BD13" s="137"/>
      <c r="BE13" s="137"/>
      <c r="BF13" s="137"/>
      <c r="BG13" s="137"/>
      <c r="BH13" s="137"/>
      <c r="BI13" s="137"/>
      <c r="BJ13" s="137"/>
      <c r="BK13" s="137"/>
      <c r="BL13" s="137"/>
      <c r="BM13" s="137"/>
      <c r="BN13" s="138"/>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22" t="str">
        <f>IF(Eingabe!A68="","",Eingabe!A68)</f>
        <v/>
      </c>
      <c r="B14" s="145"/>
      <c r="C14" s="145"/>
      <c r="D14" s="145"/>
      <c r="E14" s="145" t="str">
        <f>IF(Eingabe!B68="","",Eingabe!B68)</f>
        <v/>
      </c>
      <c r="F14" s="145"/>
      <c r="G14" s="145"/>
      <c r="H14" s="145"/>
      <c r="I14" s="137" t="str">
        <f>IF(Eingabe!C68="","",Eingabe!C68)</f>
        <v/>
      </c>
      <c r="J14" s="137"/>
      <c r="K14" s="137"/>
      <c r="L14" s="137"/>
      <c r="M14" s="232" t="str">
        <f>IF(Eingabe!D68&amp;""&amp;Eingabe!E68="","",Eingabe!D68&amp;" 
"&amp;Eingabe!E68)</f>
        <v/>
      </c>
      <c r="N14" s="232"/>
      <c r="O14" s="232"/>
      <c r="P14" s="232"/>
      <c r="Q14" s="232"/>
      <c r="R14" s="232"/>
      <c r="S14" s="232"/>
      <c r="T14" s="232"/>
      <c r="U14" s="232"/>
      <c r="V14" s="232"/>
      <c r="W14" s="232"/>
      <c r="X14" s="232"/>
      <c r="Y14" s="232"/>
      <c r="Z14" s="232"/>
      <c r="AA14" s="232"/>
      <c r="AB14" s="232"/>
      <c r="AC14" s="232"/>
      <c r="AD14" s="232"/>
      <c r="AE14" s="232"/>
      <c r="AF14" s="232"/>
      <c r="AG14" s="137" t="str">
        <f>IF(Eingabe!F68&amp;""&amp;Eingabe!G68="","",Eingabe!F68&amp;" 
"&amp;Eingabe!G68)</f>
        <v/>
      </c>
      <c r="AH14" s="137"/>
      <c r="AI14" s="137"/>
      <c r="AJ14" s="137"/>
      <c r="AK14" s="137"/>
      <c r="AL14" s="137"/>
      <c r="AM14" s="137"/>
      <c r="AN14" s="137"/>
      <c r="AO14" s="137"/>
      <c r="AP14" s="137"/>
      <c r="AQ14" s="137"/>
      <c r="AR14" s="137"/>
      <c r="AS14" s="137"/>
      <c r="AT14" s="137"/>
      <c r="AU14" s="137"/>
      <c r="AV14" s="137"/>
      <c r="AW14" s="137"/>
      <c r="AX14" s="137" t="str">
        <f>IF(Eingabe!H68="","",Eingabe!H68)</f>
        <v/>
      </c>
      <c r="AY14" s="137"/>
      <c r="AZ14" s="137"/>
      <c r="BA14" s="137"/>
      <c r="BB14" s="137" t="str">
        <f>IF(Eingabe!K68="","",Eingabe!K68)</f>
        <v/>
      </c>
      <c r="BC14" s="137"/>
      <c r="BD14" s="137"/>
      <c r="BE14" s="137"/>
      <c r="BF14" s="137"/>
      <c r="BG14" s="137"/>
      <c r="BH14" s="137"/>
      <c r="BI14" s="137"/>
      <c r="BJ14" s="137"/>
      <c r="BK14" s="137"/>
      <c r="BL14" s="137"/>
      <c r="BM14" s="137"/>
      <c r="BN14" s="138"/>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22" t="str">
        <f>IF(Eingabe!A69="","",Eingabe!A69)</f>
        <v/>
      </c>
      <c r="B15" s="145"/>
      <c r="C15" s="145"/>
      <c r="D15" s="145"/>
      <c r="E15" s="145" t="str">
        <f>IF(Eingabe!B69="","",Eingabe!B69)</f>
        <v/>
      </c>
      <c r="F15" s="145"/>
      <c r="G15" s="145"/>
      <c r="H15" s="145"/>
      <c r="I15" s="137" t="str">
        <f>IF(Eingabe!C69="","",Eingabe!C69)</f>
        <v/>
      </c>
      <c r="J15" s="137"/>
      <c r="K15" s="137"/>
      <c r="L15" s="137"/>
      <c r="M15" s="232" t="str">
        <f>IF(Eingabe!D69&amp;""&amp;Eingabe!E69="","",Eingabe!D69&amp;" 
"&amp;Eingabe!E69)</f>
        <v/>
      </c>
      <c r="N15" s="232"/>
      <c r="O15" s="232"/>
      <c r="P15" s="232"/>
      <c r="Q15" s="232"/>
      <c r="R15" s="232"/>
      <c r="S15" s="232"/>
      <c r="T15" s="232"/>
      <c r="U15" s="232"/>
      <c r="V15" s="232"/>
      <c r="W15" s="232"/>
      <c r="X15" s="232"/>
      <c r="Y15" s="232"/>
      <c r="Z15" s="232"/>
      <c r="AA15" s="232"/>
      <c r="AB15" s="232"/>
      <c r="AC15" s="232"/>
      <c r="AD15" s="232"/>
      <c r="AE15" s="232"/>
      <c r="AF15" s="232"/>
      <c r="AG15" s="137" t="str">
        <f>IF(Eingabe!F69&amp;""&amp;Eingabe!G69="","",Eingabe!F69&amp;" 
"&amp;Eingabe!G69)</f>
        <v/>
      </c>
      <c r="AH15" s="137"/>
      <c r="AI15" s="137"/>
      <c r="AJ15" s="137"/>
      <c r="AK15" s="137"/>
      <c r="AL15" s="137"/>
      <c r="AM15" s="137"/>
      <c r="AN15" s="137"/>
      <c r="AO15" s="137"/>
      <c r="AP15" s="137"/>
      <c r="AQ15" s="137"/>
      <c r="AR15" s="137"/>
      <c r="AS15" s="137"/>
      <c r="AT15" s="137"/>
      <c r="AU15" s="137"/>
      <c r="AV15" s="137"/>
      <c r="AW15" s="137"/>
      <c r="AX15" s="137" t="str">
        <f>IF(Eingabe!H69="","",Eingabe!H69)</f>
        <v/>
      </c>
      <c r="AY15" s="137"/>
      <c r="AZ15" s="137"/>
      <c r="BA15" s="137"/>
      <c r="BB15" s="137" t="str">
        <f>IF(Eingabe!K69="","",Eingabe!K69)</f>
        <v/>
      </c>
      <c r="BC15" s="137"/>
      <c r="BD15" s="137"/>
      <c r="BE15" s="137"/>
      <c r="BF15" s="137"/>
      <c r="BG15" s="137"/>
      <c r="BH15" s="137"/>
      <c r="BI15" s="137"/>
      <c r="BJ15" s="137"/>
      <c r="BK15" s="137"/>
      <c r="BL15" s="137"/>
      <c r="BM15" s="137"/>
      <c r="BN15" s="138"/>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22" t="str">
        <f>IF(Eingabe!A70="","",Eingabe!A70)</f>
        <v/>
      </c>
      <c r="B16" s="145"/>
      <c r="C16" s="145"/>
      <c r="D16" s="145"/>
      <c r="E16" s="145" t="str">
        <f>IF(Eingabe!B70="","",Eingabe!B70)</f>
        <v/>
      </c>
      <c r="F16" s="145"/>
      <c r="G16" s="145"/>
      <c r="H16" s="145"/>
      <c r="I16" s="137" t="str">
        <f>IF(Eingabe!C70="","",Eingabe!C70)</f>
        <v/>
      </c>
      <c r="J16" s="137"/>
      <c r="K16" s="137"/>
      <c r="L16" s="137"/>
      <c r="M16" s="232" t="str">
        <f>IF(Eingabe!D70&amp;""&amp;Eingabe!E70="","",Eingabe!D70&amp;" 
"&amp;Eingabe!E70)</f>
        <v/>
      </c>
      <c r="N16" s="232"/>
      <c r="O16" s="232"/>
      <c r="P16" s="232"/>
      <c r="Q16" s="232"/>
      <c r="R16" s="232"/>
      <c r="S16" s="232"/>
      <c r="T16" s="232"/>
      <c r="U16" s="232"/>
      <c r="V16" s="232"/>
      <c r="W16" s="232"/>
      <c r="X16" s="232"/>
      <c r="Y16" s="232"/>
      <c r="Z16" s="232"/>
      <c r="AA16" s="232"/>
      <c r="AB16" s="232"/>
      <c r="AC16" s="232"/>
      <c r="AD16" s="232"/>
      <c r="AE16" s="232"/>
      <c r="AF16" s="232"/>
      <c r="AG16" s="137" t="str">
        <f>IF(Eingabe!F70&amp;""&amp;Eingabe!G70="","",Eingabe!F70&amp;" 
"&amp;Eingabe!G70)</f>
        <v/>
      </c>
      <c r="AH16" s="137"/>
      <c r="AI16" s="137"/>
      <c r="AJ16" s="137"/>
      <c r="AK16" s="137"/>
      <c r="AL16" s="137"/>
      <c r="AM16" s="137"/>
      <c r="AN16" s="137"/>
      <c r="AO16" s="137"/>
      <c r="AP16" s="137"/>
      <c r="AQ16" s="137"/>
      <c r="AR16" s="137"/>
      <c r="AS16" s="137"/>
      <c r="AT16" s="137"/>
      <c r="AU16" s="137"/>
      <c r="AV16" s="137"/>
      <c r="AW16" s="137"/>
      <c r="AX16" s="137" t="str">
        <f>IF(Eingabe!H70="","",Eingabe!H70)</f>
        <v/>
      </c>
      <c r="AY16" s="137"/>
      <c r="AZ16" s="137"/>
      <c r="BA16" s="137"/>
      <c r="BB16" s="137" t="str">
        <f>IF(Eingabe!K70="","",Eingabe!K70)</f>
        <v/>
      </c>
      <c r="BC16" s="137"/>
      <c r="BD16" s="137"/>
      <c r="BE16" s="137"/>
      <c r="BF16" s="137"/>
      <c r="BG16" s="137"/>
      <c r="BH16" s="137"/>
      <c r="BI16" s="137"/>
      <c r="BJ16" s="137"/>
      <c r="BK16" s="137"/>
      <c r="BL16" s="137"/>
      <c r="BM16" s="137"/>
      <c r="BN16" s="138"/>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22" t="str">
        <f>IF(Eingabe!A71="","",Eingabe!A71)</f>
        <v/>
      </c>
      <c r="B17" s="145"/>
      <c r="C17" s="145"/>
      <c r="D17" s="145"/>
      <c r="E17" s="145" t="str">
        <f>IF(Eingabe!B71="","",Eingabe!B71)</f>
        <v/>
      </c>
      <c r="F17" s="145"/>
      <c r="G17" s="145"/>
      <c r="H17" s="145"/>
      <c r="I17" s="137" t="str">
        <f>IF(Eingabe!C71="","",Eingabe!C71)</f>
        <v/>
      </c>
      <c r="J17" s="137"/>
      <c r="K17" s="137"/>
      <c r="L17" s="137"/>
      <c r="M17" s="232" t="str">
        <f>IF(Eingabe!D71&amp;""&amp;Eingabe!E71="","",Eingabe!D71&amp;" 
"&amp;Eingabe!E71)</f>
        <v/>
      </c>
      <c r="N17" s="232"/>
      <c r="O17" s="232"/>
      <c r="P17" s="232"/>
      <c r="Q17" s="232"/>
      <c r="R17" s="232"/>
      <c r="S17" s="232"/>
      <c r="T17" s="232"/>
      <c r="U17" s="232"/>
      <c r="V17" s="232"/>
      <c r="W17" s="232"/>
      <c r="X17" s="232"/>
      <c r="Y17" s="232"/>
      <c r="Z17" s="232"/>
      <c r="AA17" s="232"/>
      <c r="AB17" s="232"/>
      <c r="AC17" s="232"/>
      <c r="AD17" s="232"/>
      <c r="AE17" s="232"/>
      <c r="AF17" s="232"/>
      <c r="AG17" s="137" t="str">
        <f>IF(Eingabe!F71&amp;""&amp;Eingabe!G71="","",Eingabe!F71&amp;" 
"&amp;Eingabe!G71)</f>
        <v/>
      </c>
      <c r="AH17" s="137"/>
      <c r="AI17" s="137"/>
      <c r="AJ17" s="137"/>
      <c r="AK17" s="137"/>
      <c r="AL17" s="137"/>
      <c r="AM17" s="137"/>
      <c r="AN17" s="137"/>
      <c r="AO17" s="137"/>
      <c r="AP17" s="137"/>
      <c r="AQ17" s="137"/>
      <c r="AR17" s="137"/>
      <c r="AS17" s="137"/>
      <c r="AT17" s="137"/>
      <c r="AU17" s="137"/>
      <c r="AV17" s="137"/>
      <c r="AW17" s="137"/>
      <c r="AX17" s="137" t="str">
        <f>IF(Eingabe!H71="","",Eingabe!H71)</f>
        <v/>
      </c>
      <c r="AY17" s="137"/>
      <c r="AZ17" s="137"/>
      <c r="BA17" s="137"/>
      <c r="BB17" s="137" t="str">
        <f>IF(Eingabe!K71="","",Eingabe!K71)</f>
        <v/>
      </c>
      <c r="BC17" s="137"/>
      <c r="BD17" s="137"/>
      <c r="BE17" s="137"/>
      <c r="BF17" s="137"/>
      <c r="BG17" s="137"/>
      <c r="BH17" s="137"/>
      <c r="BI17" s="137"/>
      <c r="BJ17" s="137"/>
      <c r="BK17" s="137"/>
      <c r="BL17" s="137"/>
      <c r="BM17" s="137"/>
      <c r="BN17" s="138"/>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22" t="str">
        <f>IF(Eingabe!A72="","",Eingabe!A72)</f>
        <v/>
      </c>
      <c r="B18" s="145"/>
      <c r="C18" s="145"/>
      <c r="D18" s="145"/>
      <c r="E18" s="145" t="str">
        <f>IF(Eingabe!B72="","",Eingabe!B72)</f>
        <v/>
      </c>
      <c r="F18" s="145"/>
      <c r="G18" s="145"/>
      <c r="H18" s="145"/>
      <c r="I18" s="137" t="str">
        <f>IF(Eingabe!C72="","",Eingabe!C72)</f>
        <v/>
      </c>
      <c r="J18" s="137"/>
      <c r="K18" s="137"/>
      <c r="L18" s="137"/>
      <c r="M18" s="232" t="str">
        <f>IF(Eingabe!D72&amp;""&amp;Eingabe!E72="","",Eingabe!D72&amp;" 
"&amp;Eingabe!E72)</f>
        <v/>
      </c>
      <c r="N18" s="232"/>
      <c r="O18" s="232"/>
      <c r="P18" s="232"/>
      <c r="Q18" s="232"/>
      <c r="R18" s="232"/>
      <c r="S18" s="232"/>
      <c r="T18" s="232"/>
      <c r="U18" s="232"/>
      <c r="V18" s="232"/>
      <c r="W18" s="232"/>
      <c r="X18" s="232"/>
      <c r="Y18" s="232"/>
      <c r="Z18" s="232"/>
      <c r="AA18" s="232"/>
      <c r="AB18" s="232"/>
      <c r="AC18" s="232"/>
      <c r="AD18" s="232"/>
      <c r="AE18" s="232"/>
      <c r="AF18" s="232"/>
      <c r="AG18" s="137" t="str">
        <f>IF(Eingabe!F72&amp;""&amp;Eingabe!G72="","",Eingabe!F72&amp;" 
"&amp;Eingabe!G72)</f>
        <v/>
      </c>
      <c r="AH18" s="137"/>
      <c r="AI18" s="137"/>
      <c r="AJ18" s="137"/>
      <c r="AK18" s="137"/>
      <c r="AL18" s="137"/>
      <c r="AM18" s="137"/>
      <c r="AN18" s="137"/>
      <c r="AO18" s="137"/>
      <c r="AP18" s="137"/>
      <c r="AQ18" s="137"/>
      <c r="AR18" s="137"/>
      <c r="AS18" s="137"/>
      <c r="AT18" s="137"/>
      <c r="AU18" s="137"/>
      <c r="AV18" s="137"/>
      <c r="AW18" s="137"/>
      <c r="AX18" s="137" t="str">
        <f>IF(Eingabe!H72="","",Eingabe!H72)</f>
        <v/>
      </c>
      <c r="AY18" s="137"/>
      <c r="AZ18" s="137"/>
      <c r="BA18" s="137"/>
      <c r="BB18" s="137" t="str">
        <f>IF(Eingabe!K72="","",Eingabe!K72)</f>
        <v/>
      </c>
      <c r="BC18" s="137"/>
      <c r="BD18" s="137"/>
      <c r="BE18" s="137"/>
      <c r="BF18" s="137"/>
      <c r="BG18" s="137"/>
      <c r="BH18" s="137"/>
      <c r="BI18" s="137"/>
      <c r="BJ18" s="137"/>
      <c r="BK18" s="137"/>
      <c r="BL18" s="137"/>
      <c r="BM18" s="137"/>
      <c r="BN18" s="138"/>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22" t="str">
        <f>IF(Eingabe!A73="","",Eingabe!A73)</f>
        <v/>
      </c>
      <c r="B19" s="145"/>
      <c r="C19" s="145"/>
      <c r="D19" s="145"/>
      <c r="E19" s="145" t="str">
        <f>IF(Eingabe!B73="","",Eingabe!B73)</f>
        <v/>
      </c>
      <c r="F19" s="145"/>
      <c r="G19" s="145"/>
      <c r="H19" s="145"/>
      <c r="I19" s="137" t="str">
        <f>IF(Eingabe!C73="","",Eingabe!C73)</f>
        <v/>
      </c>
      <c r="J19" s="137"/>
      <c r="K19" s="137"/>
      <c r="L19" s="137"/>
      <c r="M19" s="232" t="str">
        <f>IF(Eingabe!D73&amp;""&amp;Eingabe!E73="","",Eingabe!D73&amp;" 
"&amp;Eingabe!E73)</f>
        <v/>
      </c>
      <c r="N19" s="232"/>
      <c r="O19" s="232"/>
      <c r="P19" s="232"/>
      <c r="Q19" s="232"/>
      <c r="R19" s="232"/>
      <c r="S19" s="232"/>
      <c r="T19" s="232"/>
      <c r="U19" s="232"/>
      <c r="V19" s="232"/>
      <c r="W19" s="232"/>
      <c r="X19" s="232"/>
      <c r="Y19" s="232"/>
      <c r="Z19" s="232"/>
      <c r="AA19" s="232"/>
      <c r="AB19" s="232"/>
      <c r="AC19" s="232"/>
      <c r="AD19" s="232"/>
      <c r="AE19" s="232"/>
      <c r="AF19" s="232"/>
      <c r="AG19" s="137" t="str">
        <f>IF(Eingabe!F73&amp;""&amp;Eingabe!G73="","",Eingabe!F73&amp;" 
"&amp;Eingabe!G73)</f>
        <v/>
      </c>
      <c r="AH19" s="137"/>
      <c r="AI19" s="137"/>
      <c r="AJ19" s="137"/>
      <c r="AK19" s="137"/>
      <c r="AL19" s="137"/>
      <c r="AM19" s="137"/>
      <c r="AN19" s="137"/>
      <c r="AO19" s="137"/>
      <c r="AP19" s="137"/>
      <c r="AQ19" s="137"/>
      <c r="AR19" s="137"/>
      <c r="AS19" s="137"/>
      <c r="AT19" s="137"/>
      <c r="AU19" s="137"/>
      <c r="AV19" s="137"/>
      <c r="AW19" s="137"/>
      <c r="AX19" s="137" t="str">
        <f>IF(Eingabe!H73="","",Eingabe!H73)</f>
        <v/>
      </c>
      <c r="AY19" s="137"/>
      <c r="AZ19" s="137"/>
      <c r="BA19" s="137"/>
      <c r="BB19" s="137" t="str">
        <f>IF(Eingabe!K73="","",Eingabe!K73)</f>
        <v/>
      </c>
      <c r="BC19" s="137"/>
      <c r="BD19" s="137"/>
      <c r="BE19" s="137"/>
      <c r="BF19" s="137"/>
      <c r="BG19" s="137"/>
      <c r="BH19" s="137"/>
      <c r="BI19" s="137"/>
      <c r="BJ19" s="137"/>
      <c r="BK19" s="137"/>
      <c r="BL19" s="137"/>
      <c r="BM19" s="137"/>
      <c r="BN19" s="138"/>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22" t="str">
        <f>IF(Eingabe!A74="","",Eingabe!A74)</f>
        <v/>
      </c>
      <c r="B20" s="145"/>
      <c r="C20" s="145"/>
      <c r="D20" s="145"/>
      <c r="E20" s="145" t="str">
        <f>IF(Eingabe!B74="","",Eingabe!B74)</f>
        <v/>
      </c>
      <c r="F20" s="145"/>
      <c r="G20" s="145"/>
      <c r="H20" s="145"/>
      <c r="I20" s="137" t="str">
        <f>IF(Eingabe!C74="","",Eingabe!C74)</f>
        <v/>
      </c>
      <c r="J20" s="137"/>
      <c r="K20" s="137"/>
      <c r="L20" s="137"/>
      <c r="M20" s="232" t="str">
        <f>IF(Eingabe!D74&amp;""&amp;Eingabe!E74="","",Eingabe!D74&amp;" 
"&amp;Eingabe!E74)</f>
        <v/>
      </c>
      <c r="N20" s="232"/>
      <c r="O20" s="232"/>
      <c r="P20" s="232"/>
      <c r="Q20" s="232"/>
      <c r="R20" s="232"/>
      <c r="S20" s="232"/>
      <c r="T20" s="232"/>
      <c r="U20" s="232"/>
      <c r="V20" s="232"/>
      <c r="W20" s="232"/>
      <c r="X20" s="232"/>
      <c r="Y20" s="232"/>
      <c r="Z20" s="232"/>
      <c r="AA20" s="232"/>
      <c r="AB20" s="232"/>
      <c r="AC20" s="232"/>
      <c r="AD20" s="232"/>
      <c r="AE20" s="232"/>
      <c r="AF20" s="232"/>
      <c r="AG20" s="137" t="str">
        <f>IF(Eingabe!F74&amp;""&amp;Eingabe!G74="","",Eingabe!F74&amp;" 
"&amp;Eingabe!G74)</f>
        <v/>
      </c>
      <c r="AH20" s="137"/>
      <c r="AI20" s="137"/>
      <c r="AJ20" s="137"/>
      <c r="AK20" s="137"/>
      <c r="AL20" s="137"/>
      <c r="AM20" s="137"/>
      <c r="AN20" s="137"/>
      <c r="AO20" s="137"/>
      <c r="AP20" s="137"/>
      <c r="AQ20" s="137"/>
      <c r="AR20" s="137"/>
      <c r="AS20" s="137"/>
      <c r="AT20" s="137"/>
      <c r="AU20" s="137"/>
      <c r="AV20" s="137"/>
      <c r="AW20" s="137"/>
      <c r="AX20" s="137" t="str">
        <f>IF(Eingabe!H74="","",Eingabe!H74)</f>
        <v/>
      </c>
      <c r="AY20" s="137"/>
      <c r="AZ20" s="137"/>
      <c r="BA20" s="137"/>
      <c r="BB20" s="137" t="str">
        <f>IF(Eingabe!K74="","",Eingabe!K74)</f>
        <v/>
      </c>
      <c r="BC20" s="137"/>
      <c r="BD20" s="137"/>
      <c r="BE20" s="137"/>
      <c r="BF20" s="137"/>
      <c r="BG20" s="137"/>
      <c r="BH20" s="137"/>
      <c r="BI20" s="137"/>
      <c r="BJ20" s="137"/>
      <c r="BK20" s="137"/>
      <c r="BL20" s="137"/>
      <c r="BM20" s="137"/>
      <c r="BN20" s="138"/>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22" t="str">
        <f>IF(Eingabe!A75="","",Eingabe!A75)</f>
        <v/>
      </c>
      <c r="B21" s="145"/>
      <c r="C21" s="145"/>
      <c r="D21" s="145"/>
      <c r="E21" s="145" t="str">
        <f>IF(Eingabe!B75="","",Eingabe!B75)</f>
        <v/>
      </c>
      <c r="F21" s="145"/>
      <c r="G21" s="145"/>
      <c r="H21" s="145"/>
      <c r="I21" s="137" t="str">
        <f>IF(Eingabe!C75="","",Eingabe!C75)</f>
        <v/>
      </c>
      <c r="J21" s="137"/>
      <c r="K21" s="137"/>
      <c r="L21" s="137"/>
      <c r="M21" s="232" t="str">
        <f>IF(Eingabe!D75&amp;""&amp;Eingabe!E75="","",Eingabe!D75&amp;" 
"&amp;Eingabe!E75)</f>
        <v/>
      </c>
      <c r="N21" s="232"/>
      <c r="O21" s="232"/>
      <c r="P21" s="232"/>
      <c r="Q21" s="232"/>
      <c r="R21" s="232"/>
      <c r="S21" s="232"/>
      <c r="T21" s="232"/>
      <c r="U21" s="232"/>
      <c r="V21" s="232"/>
      <c r="W21" s="232"/>
      <c r="X21" s="232"/>
      <c r="Y21" s="232"/>
      <c r="Z21" s="232"/>
      <c r="AA21" s="232"/>
      <c r="AB21" s="232"/>
      <c r="AC21" s="232"/>
      <c r="AD21" s="232"/>
      <c r="AE21" s="232"/>
      <c r="AF21" s="232"/>
      <c r="AG21" s="137" t="str">
        <f>IF(Eingabe!F75&amp;""&amp;Eingabe!G75="","",Eingabe!F75&amp;" 
"&amp;Eingabe!G75)</f>
        <v/>
      </c>
      <c r="AH21" s="137"/>
      <c r="AI21" s="137"/>
      <c r="AJ21" s="137"/>
      <c r="AK21" s="137"/>
      <c r="AL21" s="137"/>
      <c r="AM21" s="137"/>
      <c r="AN21" s="137"/>
      <c r="AO21" s="137"/>
      <c r="AP21" s="137"/>
      <c r="AQ21" s="137"/>
      <c r="AR21" s="137"/>
      <c r="AS21" s="137"/>
      <c r="AT21" s="137"/>
      <c r="AU21" s="137"/>
      <c r="AV21" s="137"/>
      <c r="AW21" s="137"/>
      <c r="AX21" s="137" t="str">
        <f>IF(Eingabe!H75="","",Eingabe!H75)</f>
        <v/>
      </c>
      <c r="AY21" s="137"/>
      <c r="AZ21" s="137"/>
      <c r="BA21" s="137"/>
      <c r="BB21" s="137" t="str">
        <f>IF(Eingabe!K75="","",Eingabe!K75)</f>
        <v/>
      </c>
      <c r="BC21" s="137"/>
      <c r="BD21" s="137"/>
      <c r="BE21" s="137"/>
      <c r="BF21" s="137"/>
      <c r="BG21" s="137"/>
      <c r="BH21" s="137"/>
      <c r="BI21" s="137"/>
      <c r="BJ21" s="137"/>
      <c r="BK21" s="137"/>
      <c r="BL21" s="137"/>
      <c r="BM21" s="137"/>
      <c r="BN21" s="138"/>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22" t="str">
        <f>IF(Eingabe!A76="","",Eingabe!A76)</f>
        <v/>
      </c>
      <c r="B22" s="145"/>
      <c r="C22" s="145"/>
      <c r="D22" s="145"/>
      <c r="E22" s="145" t="str">
        <f>IF(Eingabe!B76="","",Eingabe!B76)</f>
        <v/>
      </c>
      <c r="F22" s="145"/>
      <c r="G22" s="145"/>
      <c r="H22" s="145"/>
      <c r="I22" s="137" t="str">
        <f>IF(Eingabe!C76="","",Eingabe!C76)</f>
        <v/>
      </c>
      <c r="J22" s="137"/>
      <c r="K22" s="137"/>
      <c r="L22" s="137"/>
      <c r="M22" s="232" t="str">
        <f>IF(Eingabe!D76&amp;""&amp;Eingabe!E76="","",Eingabe!D76&amp;" 
"&amp;Eingabe!E76)</f>
        <v/>
      </c>
      <c r="N22" s="232"/>
      <c r="O22" s="232"/>
      <c r="P22" s="232"/>
      <c r="Q22" s="232"/>
      <c r="R22" s="232"/>
      <c r="S22" s="232"/>
      <c r="T22" s="232"/>
      <c r="U22" s="232"/>
      <c r="V22" s="232"/>
      <c r="W22" s="232"/>
      <c r="X22" s="232"/>
      <c r="Y22" s="232"/>
      <c r="Z22" s="232"/>
      <c r="AA22" s="232"/>
      <c r="AB22" s="232"/>
      <c r="AC22" s="232"/>
      <c r="AD22" s="232"/>
      <c r="AE22" s="232"/>
      <c r="AF22" s="232"/>
      <c r="AG22" s="137" t="str">
        <f>IF(Eingabe!F76&amp;""&amp;Eingabe!G76="","",Eingabe!F76&amp;" 
"&amp;Eingabe!G76)</f>
        <v/>
      </c>
      <c r="AH22" s="137"/>
      <c r="AI22" s="137"/>
      <c r="AJ22" s="137"/>
      <c r="AK22" s="137"/>
      <c r="AL22" s="137"/>
      <c r="AM22" s="137"/>
      <c r="AN22" s="137"/>
      <c r="AO22" s="137"/>
      <c r="AP22" s="137"/>
      <c r="AQ22" s="137"/>
      <c r="AR22" s="137"/>
      <c r="AS22" s="137"/>
      <c r="AT22" s="137"/>
      <c r="AU22" s="137"/>
      <c r="AV22" s="137"/>
      <c r="AW22" s="137"/>
      <c r="AX22" s="137" t="str">
        <f>IF(Eingabe!H76="","",Eingabe!H76)</f>
        <v/>
      </c>
      <c r="AY22" s="137"/>
      <c r="AZ22" s="137"/>
      <c r="BA22" s="137"/>
      <c r="BB22" s="137" t="str">
        <f>IF(Eingabe!K76="","",Eingabe!K76)</f>
        <v/>
      </c>
      <c r="BC22" s="137"/>
      <c r="BD22" s="137"/>
      <c r="BE22" s="137"/>
      <c r="BF22" s="137"/>
      <c r="BG22" s="137"/>
      <c r="BH22" s="137"/>
      <c r="BI22" s="137"/>
      <c r="BJ22" s="137"/>
      <c r="BK22" s="137"/>
      <c r="BL22" s="137"/>
      <c r="BM22" s="137"/>
      <c r="BN22" s="138"/>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22" t="str">
        <f>IF(Eingabe!A77="","",Eingabe!A77)</f>
        <v/>
      </c>
      <c r="B23" s="145"/>
      <c r="C23" s="145"/>
      <c r="D23" s="145"/>
      <c r="E23" s="145" t="str">
        <f>IF(Eingabe!B77="","",Eingabe!B77)</f>
        <v/>
      </c>
      <c r="F23" s="145"/>
      <c r="G23" s="145"/>
      <c r="H23" s="145"/>
      <c r="I23" s="137" t="str">
        <f>IF(Eingabe!C77="","",Eingabe!C77)</f>
        <v/>
      </c>
      <c r="J23" s="137"/>
      <c r="K23" s="137"/>
      <c r="L23" s="137"/>
      <c r="M23" s="232" t="str">
        <f>IF(Eingabe!D77&amp;""&amp;Eingabe!E77="","",Eingabe!D77&amp;" 
"&amp;Eingabe!E77)</f>
        <v/>
      </c>
      <c r="N23" s="232"/>
      <c r="O23" s="232"/>
      <c r="P23" s="232"/>
      <c r="Q23" s="232"/>
      <c r="R23" s="232"/>
      <c r="S23" s="232"/>
      <c r="T23" s="232"/>
      <c r="U23" s="232"/>
      <c r="V23" s="232"/>
      <c r="W23" s="232"/>
      <c r="X23" s="232"/>
      <c r="Y23" s="232"/>
      <c r="Z23" s="232"/>
      <c r="AA23" s="232"/>
      <c r="AB23" s="232"/>
      <c r="AC23" s="232"/>
      <c r="AD23" s="232"/>
      <c r="AE23" s="232"/>
      <c r="AF23" s="232"/>
      <c r="AG23" s="137" t="str">
        <f>IF(Eingabe!F77&amp;""&amp;Eingabe!G77="","",Eingabe!F77&amp;" 
"&amp;Eingabe!G77)</f>
        <v/>
      </c>
      <c r="AH23" s="137"/>
      <c r="AI23" s="137"/>
      <c r="AJ23" s="137"/>
      <c r="AK23" s="137"/>
      <c r="AL23" s="137"/>
      <c r="AM23" s="137"/>
      <c r="AN23" s="137"/>
      <c r="AO23" s="137"/>
      <c r="AP23" s="137"/>
      <c r="AQ23" s="137"/>
      <c r="AR23" s="137"/>
      <c r="AS23" s="137"/>
      <c r="AT23" s="137"/>
      <c r="AU23" s="137"/>
      <c r="AV23" s="137"/>
      <c r="AW23" s="137"/>
      <c r="AX23" s="137" t="str">
        <f>IF(Eingabe!H77="","",Eingabe!H77)</f>
        <v/>
      </c>
      <c r="AY23" s="137"/>
      <c r="AZ23" s="137"/>
      <c r="BA23" s="137"/>
      <c r="BB23" s="137" t="str">
        <f>IF(Eingabe!K77="","",Eingabe!K77)</f>
        <v/>
      </c>
      <c r="BC23" s="137"/>
      <c r="BD23" s="137"/>
      <c r="BE23" s="137"/>
      <c r="BF23" s="137"/>
      <c r="BG23" s="137"/>
      <c r="BH23" s="137"/>
      <c r="BI23" s="137"/>
      <c r="BJ23" s="137"/>
      <c r="BK23" s="137"/>
      <c r="BL23" s="137"/>
      <c r="BM23" s="137"/>
      <c r="BN23" s="138"/>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22" t="str">
        <f>IF(Eingabe!A78="","",Eingabe!A78)</f>
        <v/>
      </c>
      <c r="B24" s="145"/>
      <c r="C24" s="145"/>
      <c r="D24" s="145"/>
      <c r="E24" s="145" t="str">
        <f>IF(Eingabe!B78="","",Eingabe!B78)</f>
        <v/>
      </c>
      <c r="F24" s="145"/>
      <c r="G24" s="145"/>
      <c r="H24" s="145"/>
      <c r="I24" s="137" t="str">
        <f>IF(Eingabe!C78="","",Eingabe!C78)</f>
        <v/>
      </c>
      <c r="J24" s="137"/>
      <c r="K24" s="137"/>
      <c r="L24" s="137"/>
      <c r="M24" s="232" t="str">
        <f>IF(Eingabe!D78&amp;""&amp;Eingabe!E78="","",Eingabe!D78&amp;" 
"&amp;Eingabe!E78)</f>
        <v/>
      </c>
      <c r="N24" s="232"/>
      <c r="O24" s="232"/>
      <c r="P24" s="232"/>
      <c r="Q24" s="232"/>
      <c r="R24" s="232"/>
      <c r="S24" s="232"/>
      <c r="T24" s="232"/>
      <c r="U24" s="232"/>
      <c r="V24" s="232"/>
      <c r="W24" s="232"/>
      <c r="X24" s="232"/>
      <c r="Y24" s="232"/>
      <c r="Z24" s="232"/>
      <c r="AA24" s="232"/>
      <c r="AB24" s="232"/>
      <c r="AC24" s="232"/>
      <c r="AD24" s="232"/>
      <c r="AE24" s="232"/>
      <c r="AF24" s="232"/>
      <c r="AG24" s="137" t="str">
        <f>IF(Eingabe!F78&amp;""&amp;Eingabe!G78="","",Eingabe!F78&amp;" 
"&amp;Eingabe!G78)</f>
        <v/>
      </c>
      <c r="AH24" s="137"/>
      <c r="AI24" s="137"/>
      <c r="AJ24" s="137"/>
      <c r="AK24" s="137"/>
      <c r="AL24" s="137"/>
      <c r="AM24" s="137"/>
      <c r="AN24" s="137"/>
      <c r="AO24" s="137"/>
      <c r="AP24" s="137"/>
      <c r="AQ24" s="137"/>
      <c r="AR24" s="137"/>
      <c r="AS24" s="137"/>
      <c r="AT24" s="137"/>
      <c r="AU24" s="137"/>
      <c r="AV24" s="137"/>
      <c r="AW24" s="137"/>
      <c r="AX24" s="137" t="str">
        <f>IF(Eingabe!H78="","",Eingabe!H78)</f>
        <v/>
      </c>
      <c r="AY24" s="137"/>
      <c r="AZ24" s="137"/>
      <c r="BA24" s="137"/>
      <c r="BB24" s="137" t="str">
        <f>IF(Eingabe!K78="","",Eingabe!K78)</f>
        <v/>
      </c>
      <c r="BC24" s="137"/>
      <c r="BD24" s="137"/>
      <c r="BE24" s="137"/>
      <c r="BF24" s="137"/>
      <c r="BG24" s="137"/>
      <c r="BH24" s="137"/>
      <c r="BI24" s="137"/>
      <c r="BJ24" s="137"/>
      <c r="BK24" s="137"/>
      <c r="BL24" s="137"/>
      <c r="BM24" s="137"/>
      <c r="BN24" s="138"/>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22" t="str">
        <f>IF(Eingabe!A79="","",Eingabe!A79)</f>
        <v/>
      </c>
      <c r="B25" s="145"/>
      <c r="C25" s="145"/>
      <c r="D25" s="145"/>
      <c r="E25" s="145" t="str">
        <f>IF(Eingabe!B79="","",Eingabe!B79)</f>
        <v/>
      </c>
      <c r="F25" s="145"/>
      <c r="G25" s="145"/>
      <c r="H25" s="145"/>
      <c r="I25" s="137" t="str">
        <f>IF(Eingabe!C79="","",Eingabe!C79)</f>
        <v/>
      </c>
      <c r="J25" s="137"/>
      <c r="K25" s="137"/>
      <c r="L25" s="137"/>
      <c r="M25" s="232" t="str">
        <f>IF(Eingabe!D79&amp;""&amp;Eingabe!E79="","",Eingabe!D79&amp;" 
"&amp;Eingabe!E79)</f>
        <v/>
      </c>
      <c r="N25" s="232"/>
      <c r="O25" s="232"/>
      <c r="P25" s="232"/>
      <c r="Q25" s="232"/>
      <c r="R25" s="232"/>
      <c r="S25" s="232"/>
      <c r="T25" s="232"/>
      <c r="U25" s="232"/>
      <c r="V25" s="232"/>
      <c r="W25" s="232"/>
      <c r="X25" s="232"/>
      <c r="Y25" s="232"/>
      <c r="Z25" s="232"/>
      <c r="AA25" s="232"/>
      <c r="AB25" s="232"/>
      <c r="AC25" s="232"/>
      <c r="AD25" s="232"/>
      <c r="AE25" s="232"/>
      <c r="AF25" s="232"/>
      <c r="AG25" s="137" t="str">
        <f>IF(Eingabe!F79&amp;""&amp;Eingabe!G79="","",Eingabe!F79&amp;" 
"&amp;Eingabe!G79)</f>
        <v/>
      </c>
      <c r="AH25" s="137"/>
      <c r="AI25" s="137"/>
      <c r="AJ25" s="137"/>
      <c r="AK25" s="137"/>
      <c r="AL25" s="137"/>
      <c r="AM25" s="137"/>
      <c r="AN25" s="137"/>
      <c r="AO25" s="137"/>
      <c r="AP25" s="137"/>
      <c r="AQ25" s="137"/>
      <c r="AR25" s="137"/>
      <c r="AS25" s="137"/>
      <c r="AT25" s="137"/>
      <c r="AU25" s="137"/>
      <c r="AV25" s="137"/>
      <c r="AW25" s="137"/>
      <c r="AX25" s="137" t="str">
        <f>IF(Eingabe!H79="","",Eingabe!H79)</f>
        <v/>
      </c>
      <c r="AY25" s="137"/>
      <c r="AZ25" s="137"/>
      <c r="BA25" s="137"/>
      <c r="BB25" s="137" t="str">
        <f>IF(Eingabe!K79="","",Eingabe!K79)</f>
        <v/>
      </c>
      <c r="BC25" s="137"/>
      <c r="BD25" s="137"/>
      <c r="BE25" s="137"/>
      <c r="BF25" s="137"/>
      <c r="BG25" s="137"/>
      <c r="BH25" s="137"/>
      <c r="BI25" s="137"/>
      <c r="BJ25" s="137"/>
      <c r="BK25" s="137"/>
      <c r="BL25" s="137"/>
      <c r="BM25" s="137"/>
      <c r="BN25" s="138"/>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22" t="str">
        <f>IF(Eingabe!A80="","",Eingabe!A80)</f>
        <v/>
      </c>
      <c r="B26" s="145"/>
      <c r="C26" s="145"/>
      <c r="D26" s="145"/>
      <c r="E26" s="145" t="str">
        <f>IF(Eingabe!B80="","",Eingabe!B80)</f>
        <v/>
      </c>
      <c r="F26" s="145"/>
      <c r="G26" s="145"/>
      <c r="H26" s="145"/>
      <c r="I26" s="137" t="str">
        <f>IF(Eingabe!C80="","",Eingabe!C80)</f>
        <v/>
      </c>
      <c r="J26" s="137"/>
      <c r="K26" s="137"/>
      <c r="L26" s="137"/>
      <c r="M26" s="232" t="str">
        <f>IF(Eingabe!D80&amp;""&amp;Eingabe!E80="","",Eingabe!D80&amp;" 
"&amp;Eingabe!E80)</f>
        <v/>
      </c>
      <c r="N26" s="232"/>
      <c r="O26" s="232"/>
      <c r="P26" s="232"/>
      <c r="Q26" s="232"/>
      <c r="R26" s="232"/>
      <c r="S26" s="232"/>
      <c r="T26" s="232"/>
      <c r="U26" s="232"/>
      <c r="V26" s="232"/>
      <c r="W26" s="232"/>
      <c r="X26" s="232"/>
      <c r="Y26" s="232"/>
      <c r="Z26" s="232"/>
      <c r="AA26" s="232"/>
      <c r="AB26" s="232"/>
      <c r="AC26" s="232"/>
      <c r="AD26" s="232"/>
      <c r="AE26" s="232"/>
      <c r="AF26" s="232"/>
      <c r="AG26" s="137" t="str">
        <f>IF(Eingabe!F80&amp;""&amp;Eingabe!G80="","",Eingabe!F80&amp;" 
"&amp;Eingabe!G80)</f>
        <v/>
      </c>
      <c r="AH26" s="137"/>
      <c r="AI26" s="137"/>
      <c r="AJ26" s="137"/>
      <c r="AK26" s="137"/>
      <c r="AL26" s="137"/>
      <c r="AM26" s="137"/>
      <c r="AN26" s="137"/>
      <c r="AO26" s="137"/>
      <c r="AP26" s="137"/>
      <c r="AQ26" s="137"/>
      <c r="AR26" s="137"/>
      <c r="AS26" s="137"/>
      <c r="AT26" s="137"/>
      <c r="AU26" s="137"/>
      <c r="AV26" s="137"/>
      <c r="AW26" s="137"/>
      <c r="AX26" s="137" t="str">
        <f>IF(Eingabe!H80="","",Eingabe!H80)</f>
        <v/>
      </c>
      <c r="AY26" s="137"/>
      <c r="AZ26" s="137"/>
      <c r="BA26" s="137"/>
      <c r="BB26" s="137" t="str">
        <f>IF(Eingabe!K80="","",Eingabe!K80)</f>
        <v/>
      </c>
      <c r="BC26" s="137"/>
      <c r="BD26" s="137"/>
      <c r="BE26" s="137"/>
      <c r="BF26" s="137"/>
      <c r="BG26" s="137"/>
      <c r="BH26" s="137"/>
      <c r="BI26" s="137"/>
      <c r="BJ26" s="137"/>
      <c r="BK26" s="137"/>
      <c r="BL26" s="137"/>
      <c r="BM26" s="137"/>
      <c r="BN26" s="138"/>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22" t="str">
        <f>IF(Eingabe!A81="","",Eingabe!A81)</f>
        <v/>
      </c>
      <c r="B27" s="145"/>
      <c r="C27" s="145"/>
      <c r="D27" s="145"/>
      <c r="E27" s="145" t="str">
        <f>IF(Eingabe!B81="","",Eingabe!B81)</f>
        <v/>
      </c>
      <c r="F27" s="145"/>
      <c r="G27" s="145"/>
      <c r="H27" s="145"/>
      <c r="I27" s="137" t="str">
        <f>IF(Eingabe!C81="","",Eingabe!C81)</f>
        <v/>
      </c>
      <c r="J27" s="137"/>
      <c r="K27" s="137"/>
      <c r="L27" s="137"/>
      <c r="M27" s="232" t="str">
        <f>IF(Eingabe!D81&amp;""&amp;Eingabe!E81="","",Eingabe!D81&amp;" 
"&amp;Eingabe!E81)</f>
        <v/>
      </c>
      <c r="N27" s="232"/>
      <c r="O27" s="232"/>
      <c r="P27" s="232"/>
      <c r="Q27" s="232"/>
      <c r="R27" s="232"/>
      <c r="S27" s="232"/>
      <c r="T27" s="232"/>
      <c r="U27" s="232"/>
      <c r="V27" s="232"/>
      <c r="W27" s="232"/>
      <c r="X27" s="232"/>
      <c r="Y27" s="232"/>
      <c r="Z27" s="232"/>
      <c r="AA27" s="232"/>
      <c r="AB27" s="232"/>
      <c r="AC27" s="232"/>
      <c r="AD27" s="232"/>
      <c r="AE27" s="232"/>
      <c r="AF27" s="232"/>
      <c r="AG27" s="137" t="str">
        <f>IF(Eingabe!F81&amp;""&amp;Eingabe!G81="","",Eingabe!F81&amp;" 
"&amp;Eingabe!G81)</f>
        <v/>
      </c>
      <c r="AH27" s="137"/>
      <c r="AI27" s="137"/>
      <c r="AJ27" s="137"/>
      <c r="AK27" s="137"/>
      <c r="AL27" s="137"/>
      <c r="AM27" s="137"/>
      <c r="AN27" s="137"/>
      <c r="AO27" s="137"/>
      <c r="AP27" s="137"/>
      <c r="AQ27" s="137"/>
      <c r="AR27" s="137"/>
      <c r="AS27" s="137"/>
      <c r="AT27" s="137"/>
      <c r="AU27" s="137"/>
      <c r="AV27" s="137"/>
      <c r="AW27" s="137"/>
      <c r="AX27" s="137" t="str">
        <f>IF(Eingabe!H81="","",Eingabe!H81)</f>
        <v/>
      </c>
      <c r="AY27" s="137"/>
      <c r="AZ27" s="137"/>
      <c r="BA27" s="137"/>
      <c r="BB27" s="137" t="str">
        <f>IF(Eingabe!K81="","",Eingabe!K81)</f>
        <v/>
      </c>
      <c r="BC27" s="137"/>
      <c r="BD27" s="137"/>
      <c r="BE27" s="137"/>
      <c r="BF27" s="137"/>
      <c r="BG27" s="137"/>
      <c r="BH27" s="137"/>
      <c r="BI27" s="137"/>
      <c r="BJ27" s="137"/>
      <c r="BK27" s="137"/>
      <c r="BL27" s="137"/>
      <c r="BM27" s="137"/>
      <c r="BN27" s="138"/>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20" t="str">
        <f>IF(Eingabe!A82="","",Eingabe!A82)</f>
        <v/>
      </c>
      <c r="B28" s="221"/>
      <c r="C28" s="221"/>
      <c r="D28" s="221"/>
      <c r="E28" s="221" t="str">
        <f>IF(Eingabe!B82="","",Eingabe!B82)</f>
        <v/>
      </c>
      <c r="F28" s="221"/>
      <c r="G28" s="221"/>
      <c r="H28" s="221"/>
      <c r="I28" s="182" t="str">
        <f>IF(Eingabe!C82="","",Eingabe!C82)</f>
        <v/>
      </c>
      <c r="J28" s="182"/>
      <c r="K28" s="182"/>
      <c r="L28" s="182"/>
      <c r="M28" s="232" t="str">
        <f>IF(Eingabe!D82&amp;""&amp;Eingabe!E82="","",Eingabe!D82&amp;" 
"&amp;Eingabe!E82)</f>
        <v/>
      </c>
      <c r="N28" s="232"/>
      <c r="O28" s="232"/>
      <c r="P28" s="232"/>
      <c r="Q28" s="232"/>
      <c r="R28" s="232"/>
      <c r="S28" s="232"/>
      <c r="T28" s="232"/>
      <c r="U28" s="232"/>
      <c r="V28" s="232"/>
      <c r="W28" s="232"/>
      <c r="X28" s="232"/>
      <c r="Y28" s="232"/>
      <c r="Z28" s="232"/>
      <c r="AA28" s="232"/>
      <c r="AB28" s="232"/>
      <c r="AC28" s="232"/>
      <c r="AD28" s="232"/>
      <c r="AE28" s="232"/>
      <c r="AF28" s="232"/>
      <c r="AG28" s="137" t="str">
        <f>IF(Eingabe!F82&amp;""&amp;Eingabe!G82="","",Eingabe!F82&amp;" 
"&amp;Eingabe!G82)</f>
        <v/>
      </c>
      <c r="AH28" s="137"/>
      <c r="AI28" s="137"/>
      <c r="AJ28" s="137"/>
      <c r="AK28" s="137"/>
      <c r="AL28" s="137"/>
      <c r="AM28" s="137"/>
      <c r="AN28" s="137"/>
      <c r="AO28" s="137"/>
      <c r="AP28" s="137"/>
      <c r="AQ28" s="137"/>
      <c r="AR28" s="137"/>
      <c r="AS28" s="137"/>
      <c r="AT28" s="137"/>
      <c r="AU28" s="137"/>
      <c r="AV28" s="137"/>
      <c r="AW28" s="137"/>
      <c r="AX28" s="182" t="str">
        <f>IF(Eingabe!H82="","",Eingabe!H82)</f>
        <v/>
      </c>
      <c r="AY28" s="182"/>
      <c r="AZ28" s="182"/>
      <c r="BA28" s="182"/>
      <c r="BB28" s="182" t="str">
        <f>IF(Eingabe!K82="","",Eingabe!K82)</f>
        <v/>
      </c>
      <c r="BC28" s="182"/>
      <c r="BD28" s="182"/>
      <c r="BE28" s="182"/>
      <c r="BF28" s="182"/>
      <c r="BG28" s="182"/>
      <c r="BH28" s="182"/>
      <c r="BI28" s="182"/>
      <c r="BJ28" s="182"/>
      <c r="BK28" s="182"/>
      <c r="BL28" s="182"/>
      <c r="BM28" s="182"/>
      <c r="BN28" s="233"/>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83" t="s">
        <v>0</v>
      </c>
      <c r="B29" s="184"/>
      <c r="C29" s="184"/>
      <c r="D29" s="184"/>
      <c r="E29" s="184"/>
      <c r="F29" s="184"/>
      <c r="G29" s="184"/>
      <c r="H29" s="184"/>
      <c r="I29" s="184"/>
      <c r="J29" s="184"/>
      <c r="K29" s="184"/>
      <c r="L29" s="184"/>
      <c r="M29" s="184"/>
      <c r="N29" s="184"/>
      <c r="O29" s="184"/>
      <c r="P29" s="184"/>
      <c r="Q29" s="184"/>
      <c r="R29" s="184"/>
      <c r="S29" s="184"/>
      <c r="T29" s="184"/>
      <c r="U29" s="184"/>
      <c r="V29" s="185"/>
      <c r="W29" s="134" t="s">
        <v>1</v>
      </c>
      <c r="X29" s="135"/>
      <c r="Y29" s="135"/>
      <c r="Z29" s="135"/>
      <c r="AA29" s="135"/>
      <c r="AB29" s="135"/>
      <c r="AC29" s="135"/>
      <c r="AD29" s="135"/>
      <c r="AE29" s="135"/>
      <c r="AF29" s="135"/>
      <c r="AG29" s="135"/>
      <c r="AH29" s="135"/>
      <c r="AI29" s="135"/>
      <c r="AJ29" s="135"/>
      <c r="AK29" s="135"/>
      <c r="AL29" s="135"/>
      <c r="AM29" s="135"/>
      <c r="AN29" s="135"/>
      <c r="AO29" s="135"/>
      <c r="AP29" s="135"/>
      <c r="AQ29" s="135"/>
      <c r="AR29" s="136"/>
      <c r="AS29" s="134" t="s">
        <v>2</v>
      </c>
      <c r="AT29" s="135"/>
      <c r="AU29" s="135"/>
      <c r="AV29" s="135"/>
      <c r="AW29" s="135"/>
      <c r="AX29" s="135"/>
      <c r="AY29" s="135"/>
      <c r="AZ29" s="135"/>
      <c r="BA29" s="136"/>
      <c r="BB29" s="134" t="s">
        <v>3</v>
      </c>
      <c r="BC29" s="135"/>
      <c r="BD29" s="135"/>
      <c r="BE29" s="135"/>
      <c r="BF29" s="135"/>
      <c r="BG29" s="135"/>
      <c r="BH29" s="135"/>
      <c r="BI29" s="135"/>
      <c r="BJ29" s="135"/>
      <c r="BK29" s="135"/>
      <c r="BL29" s="135"/>
      <c r="BM29" s="135"/>
      <c r="BN29" s="136"/>
    </row>
    <row r="30" spans="1:256" ht="10.5" customHeight="1" x14ac:dyDescent="0.2">
      <c r="A30" s="146" t="str">
        <f>IF(Eingabe!O2="","",Eingabe!O2)</f>
        <v>Beilage 3</v>
      </c>
      <c r="B30" s="147"/>
      <c r="C30" s="147"/>
      <c r="D30" s="147"/>
      <c r="E30" s="147"/>
      <c r="F30" s="147"/>
      <c r="G30" s="147"/>
      <c r="H30" s="147"/>
      <c r="I30" s="147"/>
      <c r="J30" s="147"/>
      <c r="K30" s="147"/>
      <c r="L30" s="147"/>
      <c r="M30" s="147"/>
      <c r="N30" s="147"/>
      <c r="O30" s="147"/>
      <c r="P30" s="147"/>
      <c r="Q30" s="147"/>
      <c r="R30" s="147"/>
      <c r="S30" s="147"/>
      <c r="T30" s="147"/>
      <c r="U30" s="147"/>
      <c r="V30" s="148"/>
      <c r="W30" s="186" t="str">
        <f>IF(Eingabe!E3="","",Eingabe!E3)</f>
        <v>Max Mustermann</v>
      </c>
      <c r="X30" s="187"/>
      <c r="Y30" s="187"/>
      <c r="Z30" s="187"/>
      <c r="AA30" s="187"/>
      <c r="AB30" s="187"/>
      <c r="AC30" s="187"/>
      <c r="AD30" s="187"/>
      <c r="AE30" s="187"/>
      <c r="AF30" s="187"/>
      <c r="AG30" s="187"/>
      <c r="AH30" s="187"/>
      <c r="AI30" s="187"/>
      <c r="AJ30" s="187"/>
      <c r="AK30" s="187"/>
      <c r="AL30" s="187"/>
      <c r="AM30" s="187"/>
      <c r="AN30" s="187"/>
      <c r="AO30" s="187"/>
      <c r="AP30" s="187"/>
      <c r="AQ30" s="187"/>
      <c r="AR30" s="188"/>
      <c r="AS30" s="192" t="str">
        <f>IF(Eingabe!I1="","",Eingabe!I1)</f>
        <v/>
      </c>
      <c r="AT30" s="193"/>
      <c r="AU30" s="193"/>
      <c r="AV30" s="193"/>
      <c r="AW30" s="193"/>
      <c r="AX30" s="193"/>
      <c r="AY30" s="193"/>
      <c r="AZ30" s="193"/>
      <c r="BA30" s="194"/>
      <c r="BB30" s="210" t="str">
        <f>IF(Eingabe!I2="","",Eingabe!I2)</f>
        <v/>
      </c>
      <c r="BC30" s="211"/>
      <c r="BD30" s="211"/>
      <c r="BE30" s="211"/>
      <c r="BF30" s="211"/>
      <c r="BG30" s="211"/>
      <c r="BH30" s="211"/>
      <c r="BI30" s="211"/>
      <c r="BJ30" s="211"/>
      <c r="BK30" s="211"/>
      <c r="BL30" s="211"/>
      <c r="BM30" s="211"/>
      <c r="BN30" s="212"/>
    </row>
    <row r="31" spans="1:256" ht="10.5" customHeight="1" thickBot="1" x14ac:dyDescent="0.25">
      <c r="A31" s="149"/>
      <c r="B31" s="150"/>
      <c r="C31" s="150"/>
      <c r="D31" s="150"/>
      <c r="E31" s="150"/>
      <c r="F31" s="150"/>
      <c r="G31" s="150"/>
      <c r="H31" s="150"/>
      <c r="I31" s="150"/>
      <c r="J31" s="150"/>
      <c r="K31" s="150"/>
      <c r="L31" s="150"/>
      <c r="M31" s="150"/>
      <c r="N31" s="150"/>
      <c r="O31" s="150"/>
      <c r="P31" s="150"/>
      <c r="Q31" s="150"/>
      <c r="R31" s="150"/>
      <c r="S31" s="150"/>
      <c r="T31" s="150"/>
      <c r="U31" s="150"/>
      <c r="V31" s="151"/>
      <c r="W31" s="189"/>
      <c r="X31" s="190"/>
      <c r="Y31" s="190"/>
      <c r="Z31" s="190"/>
      <c r="AA31" s="190"/>
      <c r="AB31" s="190"/>
      <c r="AC31" s="190"/>
      <c r="AD31" s="190"/>
      <c r="AE31" s="190"/>
      <c r="AF31" s="190"/>
      <c r="AG31" s="190"/>
      <c r="AH31" s="190"/>
      <c r="AI31" s="190"/>
      <c r="AJ31" s="190"/>
      <c r="AK31" s="190"/>
      <c r="AL31" s="190"/>
      <c r="AM31" s="190"/>
      <c r="AN31" s="190"/>
      <c r="AO31" s="190"/>
      <c r="AP31" s="190"/>
      <c r="AQ31" s="190"/>
      <c r="AR31" s="191"/>
      <c r="AS31" s="195"/>
      <c r="AT31" s="196"/>
      <c r="AU31" s="196"/>
      <c r="AV31" s="196"/>
      <c r="AW31" s="196"/>
      <c r="AX31" s="196"/>
      <c r="AY31" s="196"/>
      <c r="AZ31" s="196"/>
      <c r="BA31" s="197"/>
      <c r="BB31" s="213"/>
      <c r="BC31" s="214"/>
      <c r="BD31" s="214"/>
      <c r="BE31" s="214"/>
      <c r="BF31" s="214"/>
      <c r="BG31" s="214"/>
      <c r="BH31" s="214"/>
      <c r="BI31" s="214"/>
      <c r="BJ31" s="214"/>
      <c r="BK31" s="214"/>
      <c r="BL31" s="214"/>
      <c r="BM31" s="214"/>
      <c r="BN31" s="215"/>
    </row>
    <row r="32" spans="1:256" ht="10.5" customHeight="1" x14ac:dyDescent="0.2">
      <c r="A32" s="173"/>
      <c r="B32" s="174"/>
      <c r="C32" s="174"/>
      <c r="D32" s="174"/>
      <c r="E32" s="174"/>
      <c r="F32" s="174"/>
      <c r="G32" s="174"/>
      <c r="H32" s="174"/>
      <c r="I32" s="174"/>
      <c r="J32" s="174"/>
      <c r="K32" s="174"/>
      <c r="L32" s="174"/>
      <c r="M32" s="174"/>
      <c r="N32" s="174"/>
      <c r="O32" s="174"/>
      <c r="P32" s="174"/>
      <c r="Q32" s="174"/>
      <c r="R32" s="174"/>
      <c r="S32" s="174"/>
      <c r="T32" s="174"/>
      <c r="U32" s="174"/>
      <c r="V32" s="175"/>
      <c r="W32" s="134" t="s">
        <v>4</v>
      </c>
      <c r="X32" s="135"/>
      <c r="Y32" s="135"/>
      <c r="Z32" s="135"/>
      <c r="AA32" s="135"/>
      <c r="AB32" s="135"/>
      <c r="AC32" s="135"/>
      <c r="AD32" s="135"/>
      <c r="AE32" s="135"/>
      <c r="AF32" s="136"/>
      <c r="AG32" s="134" t="s">
        <v>5</v>
      </c>
      <c r="AH32" s="135"/>
      <c r="AI32" s="135"/>
      <c r="AJ32" s="136"/>
      <c r="AK32" s="134" t="s">
        <v>6</v>
      </c>
      <c r="AL32" s="135"/>
      <c r="AM32" s="135"/>
      <c r="AN32" s="136"/>
      <c r="AO32" s="134" t="s">
        <v>7</v>
      </c>
      <c r="AP32" s="135"/>
      <c r="AQ32" s="135"/>
      <c r="AR32" s="136"/>
      <c r="AS32" s="198" t="s">
        <v>8</v>
      </c>
      <c r="AT32" s="199"/>
      <c r="AU32" s="199"/>
      <c r="AV32" s="199"/>
      <c r="AW32" s="199"/>
      <c r="AX32" s="199"/>
      <c r="AY32" s="199"/>
      <c r="AZ32" s="199"/>
      <c r="BA32" s="199"/>
      <c r="BB32" s="199"/>
      <c r="BC32" s="199"/>
      <c r="BD32" s="199"/>
      <c r="BE32" s="199"/>
      <c r="BF32" s="199"/>
      <c r="BG32" s="199"/>
      <c r="BH32" s="200"/>
      <c r="BI32" s="134" t="s">
        <v>9</v>
      </c>
      <c r="BJ32" s="135"/>
      <c r="BK32" s="135"/>
      <c r="BL32" s="135"/>
      <c r="BM32" s="135"/>
      <c r="BN32" s="136"/>
    </row>
    <row r="33" spans="1:66" ht="10.5" customHeight="1" x14ac:dyDescent="0.2">
      <c r="A33" s="176"/>
      <c r="B33" s="177"/>
      <c r="C33" s="177"/>
      <c r="D33" s="177"/>
      <c r="E33" s="177"/>
      <c r="F33" s="177"/>
      <c r="G33" s="177"/>
      <c r="H33" s="177"/>
      <c r="I33" s="177"/>
      <c r="J33" s="177"/>
      <c r="K33" s="177"/>
      <c r="L33" s="177"/>
      <c r="M33" s="177"/>
      <c r="N33" s="177"/>
      <c r="O33" s="177"/>
      <c r="P33" s="177"/>
      <c r="Q33" s="177"/>
      <c r="R33" s="177"/>
      <c r="S33" s="177"/>
      <c r="T33" s="177"/>
      <c r="U33" s="177"/>
      <c r="V33" s="178"/>
      <c r="W33" s="167" t="str">
        <f>IF(CONCATENATE(Eingabe!E1," ", Eingabe!E2)="","",CONCATENATE(Eingabe!E1," ", Eingabe!E2))</f>
        <v>xxHELx xx</v>
      </c>
      <c r="X33" s="168"/>
      <c r="Y33" s="168"/>
      <c r="Z33" s="168"/>
      <c r="AA33" s="168"/>
      <c r="AB33" s="168"/>
      <c r="AC33" s="168"/>
      <c r="AD33" s="168"/>
      <c r="AE33" s="168"/>
      <c r="AF33" s="169"/>
      <c r="AG33" s="167" t="str">
        <f>IF(Eingabe!E4="","",Eingabe!E4)</f>
        <v>MusM</v>
      </c>
      <c r="AH33" s="168"/>
      <c r="AI33" s="168"/>
      <c r="AJ33" s="169"/>
      <c r="AK33" s="152" t="str">
        <f>IF(Eingabe!I3="","",Eingabe!I3)</f>
        <v/>
      </c>
      <c r="AL33" s="153"/>
      <c r="AM33" s="153"/>
      <c r="AN33" s="154"/>
      <c r="AO33" s="152" t="str">
        <f>IF(Eingabe!I4="","",Eingabe!I4)</f>
        <v/>
      </c>
      <c r="AP33" s="153"/>
      <c r="AQ33" s="153"/>
      <c r="AR33" s="154"/>
      <c r="AS33" s="139" t="str">
        <f>IF(Eingabe!L1="","",Eingabe!L1)</f>
        <v>Stückliste</v>
      </c>
      <c r="AT33" s="140"/>
      <c r="AU33" s="140"/>
      <c r="AV33" s="140"/>
      <c r="AW33" s="140"/>
      <c r="AX33" s="140"/>
      <c r="AY33" s="140"/>
      <c r="AZ33" s="140"/>
      <c r="BA33" s="140"/>
      <c r="BB33" s="140"/>
      <c r="BC33" s="140"/>
      <c r="BD33" s="140"/>
      <c r="BE33" s="140"/>
      <c r="BF33" s="140"/>
      <c r="BG33" s="140"/>
      <c r="BH33" s="141"/>
      <c r="BI33" s="167" t="str">
        <f>IF(Eingabe!I5="","",Eingabe!I5)</f>
        <v>StrH</v>
      </c>
      <c r="BJ33" s="168"/>
      <c r="BK33" s="168"/>
      <c r="BL33" s="168"/>
      <c r="BM33" s="168"/>
      <c r="BN33" s="169"/>
    </row>
    <row r="34" spans="1:66" ht="10.5" customHeight="1" thickBot="1" x14ac:dyDescent="0.25">
      <c r="A34" s="176"/>
      <c r="B34" s="177"/>
      <c r="C34" s="177"/>
      <c r="D34" s="177"/>
      <c r="E34" s="177"/>
      <c r="F34" s="177"/>
      <c r="G34" s="177"/>
      <c r="H34" s="177"/>
      <c r="I34" s="177"/>
      <c r="J34" s="177"/>
      <c r="K34" s="177"/>
      <c r="L34" s="177"/>
      <c r="M34" s="177"/>
      <c r="N34" s="177"/>
      <c r="O34" s="177"/>
      <c r="P34" s="177"/>
      <c r="Q34" s="177"/>
      <c r="R34" s="177"/>
      <c r="S34" s="177"/>
      <c r="T34" s="177"/>
      <c r="U34" s="177"/>
      <c r="V34" s="178"/>
      <c r="W34" s="170"/>
      <c r="X34" s="171"/>
      <c r="Y34" s="171"/>
      <c r="Z34" s="171"/>
      <c r="AA34" s="171"/>
      <c r="AB34" s="171"/>
      <c r="AC34" s="171"/>
      <c r="AD34" s="171"/>
      <c r="AE34" s="171"/>
      <c r="AF34" s="172"/>
      <c r="AG34" s="170"/>
      <c r="AH34" s="171"/>
      <c r="AI34" s="171"/>
      <c r="AJ34" s="172"/>
      <c r="AK34" s="155"/>
      <c r="AL34" s="156"/>
      <c r="AM34" s="156"/>
      <c r="AN34" s="157"/>
      <c r="AO34" s="155"/>
      <c r="AP34" s="156"/>
      <c r="AQ34" s="156"/>
      <c r="AR34" s="157"/>
      <c r="AS34" s="142"/>
      <c r="AT34" s="143"/>
      <c r="AU34" s="143"/>
      <c r="AV34" s="143"/>
      <c r="AW34" s="143"/>
      <c r="AX34" s="143"/>
      <c r="AY34" s="143"/>
      <c r="AZ34" s="143"/>
      <c r="BA34" s="143"/>
      <c r="BB34" s="143"/>
      <c r="BC34" s="143"/>
      <c r="BD34" s="143"/>
      <c r="BE34" s="143"/>
      <c r="BF34" s="143"/>
      <c r="BG34" s="143"/>
      <c r="BH34" s="144"/>
      <c r="BI34" s="170"/>
      <c r="BJ34" s="171"/>
      <c r="BK34" s="171"/>
      <c r="BL34" s="171"/>
      <c r="BM34" s="171"/>
      <c r="BN34" s="172"/>
    </row>
    <row r="35" spans="1:66" ht="10.5" customHeight="1" x14ac:dyDescent="0.2">
      <c r="A35" s="176"/>
      <c r="B35" s="177"/>
      <c r="C35" s="177"/>
      <c r="D35" s="177"/>
      <c r="E35" s="177"/>
      <c r="F35" s="177"/>
      <c r="G35" s="177"/>
      <c r="H35" s="177"/>
      <c r="I35" s="177"/>
      <c r="J35" s="177"/>
      <c r="K35" s="177"/>
      <c r="L35" s="177"/>
      <c r="M35" s="177"/>
      <c r="N35" s="177"/>
      <c r="O35" s="177"/>
      <c r="P35" s="177"/>
      <c r="Q35" s="177"/>
      <c r="R35" s="177"/>
      <c r="S35" s="177"/>
      <c r="T35" s="177"/>
      <c r="U35" s="177"/>
      <c r="V35" s="178"/>
      <c r="W35" s="134" t="s">
        <v>10</v>
      </c>
      <c r="X35" s="135"/>
      <c r="Y35" s="135"/>
      <c r="Z35" s="135"/>
      <c r="AA35" s="135"/>
      <c r="AB35" s="135"/>
      <c r="AC35" s="135"/>
      <c r="AD35" s="135"/>
      <c r="AE35" s="135"/>
      <c r="AF35" s="135"/>
      <c r="AG35" s="135"/>
      <c r="AH35" s="135"/>
      <c r="AI35" s="135"/>
      <c r="AJ35" s="135"/>
      <c r="AK35" s="135"/>
      <c r="AL35" s="135"/>
      <c r="AM35" s="135"/>
      <c r="AN35" s="135"/>
      <c r="AO35" s="135"/>
      <c r="AP35" s="135"/>
      <c r="AQ35" s="135"/>
      <c r="AR35" s="136"/>
      <c r="AS35" s="134" t="s">
        <v>11</v>
      </c>
      <c r="AT35" s="135"/>
      <c r="AU35" s="135"/>
      <c r="AV35" s="135"/>
      <c r="AW35" s="135"/>
      <c r="AX35" s="135"/>
      <c r="AY35" s="136"/>
      <c r="AZ35" s="134" t="s">
        <v>12</v>
      </c>
      <c r="BA35" s="135"/>
      <c r="BB35" s="135"/>
      <c r="BC35" s="135"/>
      <c r="BD35" s="136"/>
      <c r="BE35" s="134" t="s">
        <v>13</v>
      </c>
      <c r="BF35" s="135"/>
      <c r="BG35" s="135"/>
      <c r="BH35" s="135"/>
      <c r="BI35" s="135"/>
      <c r="BJ35" s="135"/>
      <c r="BK35" s="135"/>
      <c r="BL35" s="135"/>
      <c r="BM35" s="135"/>
      <c r="BN35" s="136"/>
    </row>
    <row r="36" spans="1:66" ht="10.5" customHeight="1" x14ac:dyDescent="0.2">
      <c r="A36" s="176"/>
      <c r="B36" s="177"/>
      <c r="C36" s="177"/>
      <c r="D36" s="177"/>
      <c r="E36" s="177"/>
      <c r="F36" s="177"/>
      <c r="G36" s="177"/>
      <c r="H36" s="177"/>
      <c r="I36" s="177"/>
      <c r="J36" s="177"/>
      <c r="K36" s="177"/>
      <c r="L36" s="177"/>
      <c r="M36" s="177"/>
      <c r="N36" s="177"/>
      <c r="O36" s="177"/>
      <c r="P36" s="177"/>
      <c r="Q36" s="177"/>
      <c r="R36" s="177"/>
      <c r="S36" s="177"/>
      <c r="T36" s="177"/>
      <c r="U36" s="177"/>
      <c r="V36" s="178"/>
      <c r="W36" s="179" t="str">
        <f>IF(Eingabe!E5="","",Eingabe!E5)</f>
        <v>Gemini 4</v>
      </c>
      <c r="X36" s="180"/>
      <c r="Y36" s="180"/>
      <c r="Z36" s="180"/>
      <c r="AA36" s="180"/>
      <c r="AB36" s="180"/>
      <c r="AC36" s="180"/>
      <c r="AD36" s="180"/>
      <c r="AE36" s="180"/>
      <c r="AF36" s="180"/>
      <c r="AG36" s="180"/>
      <c r="AH36" s="180"/>
      <c r="AI36" s="180"/>
      <c r="AJ36" s="180"/>
      <c r="AK36" s="180"/>
      <c r="AL36" s="180"/>
      <c r="AM36" s="180"/>
      <c r="AN36" s="180"/>
      <c r="AO36" s="180"/>
      <c r="AP36" s="180"/>
      <c r="AQ36" s="180"/>
      <c r="AR36" s="181"/>
      <c r="AS36" s="219" t="str">
        <f>IF(Eingabe!L3="","",Eingabe!L3)</f>
        <v>4.4</v>
      </c>
      <c r="AT36" s="193"/>
      <c r="AU36" s="193"/>
      <c r="AV36" s="193"/>
      <c r="AW36" s="193"/>
      <c r="AX36" s="193"/>
      <c r="AY36" s="194"/>
      <c r="AZ36" s="210" t="str">
        <f>IF(Eingabe!L4="","",Eingabe!L4)</f>
        <v>002</v>
      </c>
      <c r="BA36" s="211"/>
      <c r="BB36" s="211"/>
      <c r="BC36" s="211"/>
      <c r="BD36" s="212"/>
      <c r="BE36" s="139" t="str">
        <f>IF(Eingabe!L5="","",Eingabe!L5)</f>
        <v>Fertigung</v>
      </c>
      <c r="BF36" s="140"/>
      <c r="BG36" s="140"/>
      <c r="BH36" s="140"/>
      <c r="BI36" s="140"/>
      <c r="BJ36" s="140"/>
      <c r="BK36" s="140"/>
      <c r="BL36" s="140"/>
      <c r="BM36" s="140"/>
      <c r="BN36" s="141"/>
    </row>
    <row r="37" spans="1:66" ht="10.5" customHeight="1" thickBot="1" x14ac:dyDescent="0.25">
      <c r="A37" s="164" t="s">
        <v>14</v>
      </c>
      <c r="B37" s="165"/>
      <c r="C37" s="165"/>
      <c r="D37" s="165"/>
      <c r="E37" s="165"/>
      <c r="F37" s="165"/>
      <c r="G37" s="165"/>
      <c r="H37" s="165"/>
      <c r="I37" s="165"/>
      <c r="J37" s="165"/>
      <c r="K37" s="165"/>
      <c r="L37" s="165"/>
      <c r="M37" s="165"/>
      <c r="N37" s="165"/>
      <c r="O37" s="165"/>
      <c r="P37" s="165"/>
      <c r="Q37" s="165"/>
      <c r="R37" s="165"/>
      <c r="S37" s="165"/>
      <c r="T37" s="165"/>
      <c r="U37" s="165"/>
      <c r="V37" s="166"/>
      <c r="W37" s="179"/>
      <c r="X37" s="180"/>
      <c r="Y37" s="180"/>
      <c r="Z37" s="180"/>
      <c r="AA37" s="180"/>
      <c r="AB37" s="180"/>
      <c r="AC37" s="180"/>
      <c r="AD37" s="180"/>
      <c r="AE37" s="180"/>
      <c r="AF37" s="180"/>
      <c r="AG37" s="180"/>
      <c r="AH37" s="180"/>
      <c r="AI37" s="180"/>
      <c r="AJ37" s="180"/>
      <c r="AK37" s="180"/>
      <c r="AL37" s="180"/>
      <c r="AM37" s="180"/>
      <c r="AN37" s="180"/>
      <c r="AO37" s="180"/>
      <c r="AP37" s="180"/>
      <c r="AQ37" s="180"/>
      <c r="AR37" s="181"/>
      <c r="AS37" s="195"/>
      <c r="AT37" s="196"/>
      <c r="AU37" s="196"/>
      <c r="AV37" s="196"/>
      <c r="AW37" s="196"/>
      <c r="AX37" s="196"/>
      <c r="AY37" s="197"/>
      <c r="AZ37" s="213"/>
      <c r="BA37" s="214"/>
      <c r="BB37" s="214"/>
      <c r="BC37" s="214"/>
      <c r="BD37" s="215"/>
      <c r="BE37" s="142"/>
      <c r="BF37" s="143"/>
      <c r="BG37" s="143"/>
      <c r="BH37" s="143"/>
      <c r="BI37" s="143"/>
      <c r="BJ37" s="143"/>
      <c r="BK37" s="143"/>
      <c r="BL37" s="143"/>
      <c r="BM37" s="143"/>
      <c r="BN37" s="144"/>
    </row>
    <row r="38" spans="1:66" ht="10.5" customHeight="1" x14ac:dyDescent="0.2">
      <c r="A38" s="164"/>
      <c r="B38" s="165"/>
      <c r="C38" s="165"/>
      <c r="D38" s="165"/>
      <c r="E38" s="165"/>
      <c r="F38" s="165"/>
      <c r="G38" s="165"/>
      <c r="H38" s="165"/>
      <c r="I38" s="165"/>
      <c r="J38" s="165"/>
      <c r="K38" s="165"/>
      <c r="L38" s="165"/>
      <c r="M38" s="165"/>
      <c r="N38" s="165"/>
      <c r="O38" s="165"/>
      <c r="P38" s="165"/>
      <c r="Q38" s="165"/>
      <c r="R38" s="165"/>
      <c r="S38" s="165"/>
      <c r="T38" s="165"/>
      <c r="U38" s="165"/>
      <c r="V38" s="166"/>
      <c r="W38" s="179"/>
      <c r="X38" s="180"/>
      <c r="Y38" s="180"/>
      <c r="Z38" s="180"/>
      <c r="AA38" s="180"/>
      <c r="AB38" s="180"/>
      <c r="AC38" s="180"/>
      <c r="AD38" s="180"/>
      <c r="AE38" s="180"/>
      <c r="AF38" s="180"/>
      <c r="AG38" s="180"/>
      <c r="AH38" s="180"/>
      <c r="AI38" s="180"/>
      <c r="AJ38" s="180"/>
      <c r="AK38" s="180"/>
      <c r="AL38" s="180"/>
      <c r="AM38" s="180"/>
      <c r="AN38" s="180"/>
      <c r="AO38" s="180"/>
      <c r="AP38" s="180"/>
      <c r="AQ38" s="180"/>
      <c r="AR38" s="181"/>
      <c r="AS38" s="216" t="s">
        <v>15</v>
      </c>
      <c r="AT38" s="217"/>
      <c r="AU38" s="217"/>
      <c r="AV38" s="218"/>
      <c r="AW38" s="202" t="s">
        <v>16</v>
      </c>
      <c r="AX38" s="202"/>
      <c r="AY38" s="203"/>
      <c r="AZ38" s="134" t="s">
        <v>17</v>
      </c>
      <c r="BA38" s="135"/>
      <c r="BB38" s="135"/>
      <c r="BC38" s="135"/>
      <c r="BD38" s="135"/>
      <c r="BE38" s="135"/>
      <c r="BF38" s="135"/>
      <c r="BG38" s="135"/>
      <c r="BH38" s="136"/>
      <c r="BI38" s="201" t="s">
        <v>18</v>
      </c>
      <c r="BJ38" s="202"/>
      <c r="BK38" s="203"/>
      <c r="BL38" s="14" t="s">
        <v>19</v>
      </c>
      <c r="BM38" s="15"/>
      <c r="BN38" s="16"/>
    </row>
    <row r="39" spans="1:66" ht="10.5" customHeight="1" x14ac:dyDescent="0.2">
      <c r="A39" s="158" t="str">
        <f>IF(Eingabe!M6="","",Eingabe!M6)</f>
        <v>Technische Informatik</v>
      </c>
      <c r="B39" s="159"/>
      <c r="C39" s="159"/>
      <c r="D39" s="159"/>
      <c r="E39" s="159"/>
      <c r="F39" s="159"/>
      <c r="G39" s="159"/>
      <c r="H39" s="159"/>
      <c r="I39" s="159"/>
      <c r="J39" s="159"/>
      <c r="K39" s="159"/>
      <c r="L39" s="159"/>
      <c r="M39" s="159"/>
      <c r="N39" s="159"/>
      <c r="O39" s="159"/>
      <c r="P39" s="159"/>
      <c r="Q39" s="159"/>
      <c r="R39" s="159"/>
      <c r="S39" s="159"/>
      <c r="T39" s="159"/>
      <c r="U39" s="159"/>
      <c r="V39" s="160"/>
      <c r="W39" s="139" t="str">
        <f>IF(Eingabe!E6="","",Eingabe!E6)</f>
        <v>Entwicklerboard</v>
      </c>
      <c r="X39" s="140"/>
      <c r="Y39" s="140"/>
      <c r="Z39" s="140"/>
      <c r="AA39" s="140"/>
      <c r="AB39" s="140"/>
      <c r="AC39" s="140"/>
      <c r="AD39" s="140"/>
      <c r="AE39" s="140"/>
      <c r="AF39" s="140"/>
      <c r="AG39" s="140"/>
      <c r="AH39" s="140"/>
      <c r="AI39" s="140"/>
      <c r="AJ39" s="140"/>
      <c r="AK39" s="140"/>
      <c r="AL39" s="140"/>
      <c r="AM39" s="140"/>
      <c r="AN39" s="140"/>
      <c r="AO39" s="140"/>
      <c r="AP39" s="140"/>
      <c r="AQ39" s="140"/>
      <c r="AR39" s="141"/>
      <c r="AS39" s="152" t="str">
        <f>IF(Eingabe!L6="","",Eingabe!L6)</f>
        <v>ohne</v>
      </c>
      <c r="AT39" s="153"/>
      <c r="AU39" s="153"/>
      <c r="AV39" s="154"/>
      <c r="AW39" s="168" t="str">
        <f>IF(Eingabe!I6="","",Eingabe!I6)</f>
        <v>DE</v>
      </c>
      <c r="AX39" s="168"/>
      <c r="AY39" s="169"/>
      <c r="AZ39" s="204">
        <f ca="1">IF(Eingabe!L2="","",Eingabe!L2)</f>
        <v>42272</v>
      </c>
      <c r="BA39" s="205"/>
      <c r="BB39" s="205"/>
      <c r="BC39" s="205"/>
      <c r="BD39" s="205"/>
      <c r="BE39" s="205"/>
      <c r="BF39" s="205"/>
      <c r="BG39" s="205"/>
      <c r="BH39" s="206"/>
      <c r="BI39" s="152">
        <v>3</v>
      </c>
      <c r="BJ39" s="153"/>
      <c r="BK39" s="154"/>
      <c r="BL39" s="152">
        <f>(5-(IF(Eingabe!$C$33="","1","0"))-(IF(Eingabe!$C$58="","1","0"))-(IF(Eingabe!$C$83="","1","0"))-(IF(Eingabe!$C$108="","1","0")))</f>
        <v>1</v>
      </c>
      <c r="BM39" s="153"/>
      <c r="BN39" s="154"/>
    </row>
    <row r="40" spans="1:66" ht="10.5" customHeight="1" thickBot="1" x14ac:dyDescent="0.25">
      <c r="A40" s="161"/>
      <c r="B40" s="162"/>
      <c r="C40" s="162"/>
      <c r="D40" s="162"/>
      <c r="E40" s="162"/>
      <c r="F40" s="162"/>
      <c r="G40" s="162"/>
      <c r="H40" s="162"/>
      <c r="I40" s="162"/>
      <c r="J40" s="162"/>
      <c r="K40" s="162"/>
      <c r="L40" s="162"/>
      <c r="M40" s="162"/>
      <c r="N40" s="162"/>
      <c r="O40" s="162"/>
      <c r="P40" s="162"/>
      <c r="Q40" s="162"/>
      <c r="R40" s="162"/>
      <c r="S40" s="162"/>
      <c r="T40" s="162"/>
      <c r="U40" s="162"/>
      <c r="V40" s="163"/>
      <c r="W40" s="142"/>
      <c r="X40" s="143"/>
      <c r="Y40" s="143"/>
      <c r="Z40" s="143"/>
      <c r="AA40" s="143"/>
      <c r="AB40" s="143"/>
      <c r="AC40" s="143"/>
      <c r="AD40" s="143"/>
      <c r="AE40" s="143"/>
      <c r="AF40" s="143"/>
      <c r="AG40" s="143"/>
      <c r="AH40" s="143"/>
      <c r="AI40" s="143"/>
      <c r="AJ40" s="143"/>
      <c r="AK40" s="143"/>
      <c r="AL40" s="143"/>
      <c r="AM40" s="143"/>
      <c r="AN40" s="143"/>
      <c r="AO40" s="143"/>
      <c r="AP40" s="143"/>
      <c r="AQ40" s="143"/>
      <c r="AR40" s="144"/>
      <c r="AS40" s="155"/>
      <c r="AT40" s="156"/>
      <c r="AU40" s="156"/>
      <c r="AV40" s="157"/>
      <c r="AW40" s="171"/>
      <c r="AX40" s="171"/>
      <c r="AY40" s="172"/>
      <c r="AZ40" s="207"/>
      <c r="BA40" s="208"/>
      <c r="BB40" s="208"/>
      <c r="BC40" s="208"/>
      <c r="BD40" s="208"/>
      <c r="BE40" s="208"/>
      <c r="BF40" s="208"/>
      <c r="BG40" s="208"/>
      <c r="BH40" s="209"/>
      <c r="BI40" s="155"/>
      <c r="BJ40" s="156"/>
      <c r="BK40" s="157"/>
      <c r="BL40" s="155"/>
      <c r="BM40" s="156"/>
      <c r="BN40" s="15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4:D4"/>
    <mergeCell ref="AG5:AW5"/>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9:BA19"/>
    <mergeCell ref="BB19:BN19"/>
    <mergeCell ref="AX14:BA14"/>
    <mergeCell ref="BB17:BN17"/>
    <mergeCell ref="BB18:BN18"/>
    <mergeCell ref="AG2:AW3"/>
    <mergeCell ref="BB14:BN14"/>
    <mergeCell ref="AX11:BA11"/>
    <mergeCell ref="BB6:BN6"/>
    <mergeCell ref="BB8:BN8"/>
    <mergeCell ref="BB4:BN4"/>
    <mergeCell ref="BB5:BN5"/>
    <mergeCell ref="AX8:BA8"/>
    <mergeCell ref="BB12:BN12"/>
    <mergeCell ref="AX15:BA15"/>
    <mergeCell ref="BB15:BN15"/>
    <mergeCell ref="BB10:BN10"/>
    <mergeCell ref="AG4:AW4"/>
    <mergeCell ref="AX10:BA10"/>
    <mergeCell ref="AG9:AW9"/>
    <mergeCell ref="AX4:BA4"/>
    <mergeCell ref="AG8:AW8"/>
    <mergeCell ref="M7:AF7"/>
    <mergeCell ref="E4:H4"/>
    <mergeCell ref="I8:L8"/>
    <mergeCell ref="M8:AF8"/>
    <mergeCell ref="E8:H8"/>
    <mergeCell ref="AG15:AW15"/>
    <mergeCell ref="A12:D12"/>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25">
        <v>1</v>
      </c>
      <c r="B1" s="224"/>
      <c r="C1" s="224"/>
      <c r="D1" s="224"/>
      <c r="E1" s="224">
        <v>2</v>
      </c>
      <c r="F1" s="224"/>
      <c r="G1" s="224"/>
      <c r="H1" s="224"/>
      <c r="I1" s="224">
        <v>3</v>
      </c>
      <c r="J1" s="224"/>
      <c r="K1" s="224"/>
      <c r="L1" s="224"/>
      <c r="M1" s="224">
        <v>4</v>
      </c>
      <c r="N1" s="224"/>
      <c r="O1" s="224"/>
      <c r="P1" s="224"/>
      <c r="Q1" s="224"/>
      <c r="R1" s="224"/>
      <c r="S1" s="224"/>
      <c r="T1" s="224"/>
      <c r="U1" s="224"/>
      <c r="V1" s="224"/>
      <c r="W1" s="224"/>
      <c r="X1" s="224"/>
      <c r="Y1" s="224"/>
      <c r="Z1" s="224"/>
      <c r="AA1" s="224"/>
      <c r="AB1" s="224"/>
      <c r="AC1" s="224"/>
      <c r="AD1" s="224"/>
      <c r="AE1" s="224"/>
      <c r="AF1" s="224"/>
      <c r="AG1" s="224">
        <v>5</v>
      </c>
      <c r="AH1" s="224"/>
      <c r="AI1" s="224"/>
      <c r="AJ1" s="224"/>
      <c r="AK1" s="224"/>
      <c r="AL1" s="224"/>
      <c r="AM1" s="224"/>
      <c r="AN1" s="224"/>
      <c r="AO1" s="224"/>
      <c r="AP1" s="224"/>
      <c r="AQ1" s="224"/>
      <c r="AR1" s="224"/>
      <c r="AS1" s="224"/>
      <c r="AT1" s="224"/>
      <c r="AU1" s="224"/>
      <c r="AV1" s="224"/>
      <c r="AW1" s="224"/>
      <c r="AX1" s="224">
        <v>6</v>
      </c>
      <c r="AY1" s="224"/>
      <c r="AZ1" s="224"/>
      <c r="BA1" s="224"/>
      <c r="BB1" s="224">
        <v>7</v>
      </c>
      <c r="BC1" s="224"/>
      <c r="BD1" s="224"/>
      <c r="BE1" s="224"/>
      <c r="BF1" s="224"/>
      <c r="BG1" s="224"/>
      <c r="BH1" s="224"/>
      <c r="BI1" s="224"/>
      <c r="BJ1" s="224"/>
      <c r="BK1" s="224"/>
      <c r="BL1" s="224"/>
      <c r="BM1" s="224"/>
      <c r="BN1" s="234"/>
      <c r="BO1" s="1"/>
    </row>
    <row r="2" spans="1:256" ht="18.75" customHeight="1" x14ac:dyDescent="0.2">
      <c r="A2" s="230" t="str">
        <f>Eingabe!A7</f>
        <v>Lfd. 
Nr.</v>
      </c>
      <c r="B2" s="228"/>
      <c r="C2" s="228"/>
      <c r="D2" s="228"/>
      <c r="E2" s="228" t="str">
        <f>Eingabe!B7</f>
        <v>Stück-
zahl</v>
      </c>
      <c r="F2" s="228"/>
      <c r="G2" s="228"/>
      <c r="H2" s="228"/>
      <c r="I2" s="228" t="str">
        <f>Eingabe!C7</f>
        <v>Ein-
heit</v>
      </c>
      <c r="J2" s="228"/>
      <c r="K2" s="228"/>
      <c r="L2" s="228"/>
      <c r="M2" s="235" t="str">
        <f>Eingabe!D7</f>
        <v>Benennung</v>
      </c>
      <c r="N2" s="235"/>
      <c r="O2" s="235"/>
      <c r="P2" s="235"/>
      <c r="Q2" s="235"/>
      <c r="R2" s="235"/>
      <c r="S2" s="235"/>
      <c r="T2" s="235"/>
      <c r="U2" s="235"/>
      <c r="V2" s="235"/>
      <c r="W2" s="235"/>
      <c r="X2" s="235"/>
      <c r="Y2" s="235"/>
      <c r="Z2" s="235"/>
      <c r="AA2" s="235"/>
      <c r="AB2" s="235"/>
      <c r="AC2" s="235"/>
      <c r="AD2" s="235"/>
      <c r="AE2" s="235"/>
      <c r="AF2" s="235"/>
      <c r="AG2" s="235" t="str">
        <f>Eingabe!F7&amp;" / "&amp;Eingabe!G7</f>
        <v>Lieferant / Bestellnummer</v>
      </c>
      <c r="AH2" s="235"/>
      <c r="AI2" s="235"/>
      <c r="AJ2" s="235"/>
      <c r="AK2" s="235"/>
      <c r="AL2" s="235"/>
      <c r="AM2" s="235"/>
      <c r="AN2" s="235"/>
      <c r="AO2" s="235"/>
      <c r="AP2" s="235"/>
      <c r="AQ2" s="235"/>
      <c r="AR2" s="235"/>
      <c r="AS2" s="235"/>
      <c r="AT2" s="235"/>
      <c r="AU2" s="235"/>
      <c r="AV2" s="235"/>
      <c r="AW2" s="235"/>
      <c r="AX2" s="239" t="str">
        <f>Eingabe!H7</f>
        <v>MCd</v>
      </c>
      <c r="AY2" s="240"/>
      <c r="AZ2" s="240"/>
      <c r="BA2" s="241"/>
      <c r="BB2" s="235" t="str">
        <f>Eingabe!K7</f>
        <v>Bemerkung</v>
      </c>
      <c r="BC2" s="235"/>
      <c r="BD2" s="235"/>
      <c r="BE2" s="235"/>
      <c r="BF2" s="235"/>
      <c r="BG2" s="235"/>
      <c r="BH2" s="235"/>
      <c r="BI2" s="235"/>
      <c r="BJ2" s="235"/>
      <c r="BK2" s="235"/>
      <c r="BL2" s="235"/>
      <c r="BM2" s="235"/>
      <c r="BN2" s="236"/>
      <c r="BO2" s="1"/>
    </row>
    <row r="3" spans="1:256" ht="18.75" customHeight="1" thickBot="1" x14ac:dyDescent="0.25">
      <c r="A3" s="231"/>
      <c r="B3" s="229"/>
      <c r="C3" s="229"/>
      <c r="D3" s="229"/>
      <c r="E3" s="229"/>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c r="AS3" s="229"/>
      <c r="AT3" s="229"/>
      <c r="AU3" s="229"/>
      <c r="AV3" s="229"/>
      <c r="AW3" s="229"/>
      <c r="AX3" s="242"/>
      <c r="AY3" s="243"/>
      <c r="AZ3" s="243"/>
      <c r="BA3" s="244"/>
      <c r="BB3" s="229"/>
      <c r="BC3" s="229"/>
      <c r="BD3" s="229"/>
      <c r="BE3" s="229"/>
      <c r="BF3" s="229"/>
      <c r="BG3" s="229"/>
      <c r="BH3" s="229"/>
      <c r="BI3" s="229"/>
      <c r="BJ3" s="229"/>
      <c r="BK3" s="229"/>
      <c r="BL3" s="229"/>
      <c r="BM3" s="229"/>
      <c r="BN3" s="237"/>
      <c r="BO3" s="1"/>
    </row>
    <row r="4" spans="1:256" s="8" customFormat="1" ht="25.5" customHeight="1" x14ac:dyDescent="0.2">
      <c r="A4" s="226" t="str">
        <f>IF(Eingabe!A83="","",Eingabe!A83)</f>
        <v/>
      </c>
      <c r="B4" s="227"/>
      <c r="C4" s="227"/>
      <c r="D4" s="227"/>
      <c r="E4" s="227" t="str">
        <f>IF(Eingabe!B83="","",Eingabe!B83)</f>
        <v/>
      </c>
      <c r="F4" s="227"/>
      <c r="G4" s="227"/>
      <c r="H4" s="227"/>
      <c r="I4" s="223" t="str">
        <f>IF(Eingabe!C83="","",Eingabe!C83)</f>
        <v/>
      </c>
      <c r="J4" s="223"/>
      <c r="K4" s="223"/>
      <c r="L4" s="223"/>
      <c r="M4" s="245" t="str">
        <f>IF(Eingabe!D83&amp;""&amp;Eingabe!E83="","",Eingabe!D83&amp;" 
"&amp;Eingabe!E83)</f>
        <v/>
      </c>
      <c r="N4" s="245"/>
      <c r="O4" s="245"/>
      <c r="P4" s="245"/>
      <c r="Q4" s="245"/>
      <c r="R4" s="245"/>
      <c r="S4" s="245"/>
      <c r="T4" s="245"/>
      <c r="U4" s="245"/>
      <c r="V4" s="245"/>
      <c r="W4" s="245"/>
      <c r="X4" s="245"/>
      <c r="Y4" s="245"/>
      <c r="Z4" s="245"/>
      <c r="AA4" s="245"/>
      <c r="AB4" s="245"/>
      <c r="AC4" s="245"/>
      <c r="AD4" s="245"/>
      <c r="AE4" s="245"/>
      <c r="AF4" s="245"/>
      <c r="AG4" s="223" t="str">
        <f>IF(Eingabe!F83&amp;""&amp;Eingabe!G83="","",Eingabe!F83&amp;" 
"&amp;Eingabe!G83)</f>
        <v/>
      </c>
      <c r="AH4" s="223"/>
      <c r="AI4" s="223"/>
      <c r="AJ4" s="223"/>
      <c r="AK4" s="223"/>
      <c r="AL4" s="223"/>
      <c r="AM4" s="223"/>
      <c r="AN4" s="223"/>
      <c r="AO4" s="223"/>
      <c r="AP4" s="223"/>
      <c r="AQ4" s="223"/>
      <c r="AR4" s="223"/>
      <c r="AS4" s="223"/>
      <c r="AT4" s="223"/>
      <c r="AU4" s="223"/>
      <c r="AV4" s="223"/>
      <c r="AW4" s="223"/>
      <c r="AX4" s="223" t="str">
        <f>IF(Eingabe!H83="","",Eingabe!H83)</f>
        <v/>
      </c>
      <c r="AY4" s="223"/>
      <c r="AZ4" s="223"/>
      <c r="BA4" s="223"/>
      <c r="BB4" s="223" t="str">
        <f>IF(Eingabe!K83="","",Eingabe!K83)</f>
        <v/>
      </c>
      <c r="BC4" s="223"/>
      <c r="BD4" s="223"/>
      <c r="BE4" s="223"/>
      <c r="BF4" s="223"/>
      <c r="BG4" s="223"/>
      <c r="BH4" s="223"/>
      <c r="BI4" s="223"/>
      <c r="BJ4" s="223"/>
      <c r="BK4" s="223"/>
      <c r="BL4" s="223"/>
      <c r="BM4" s="223"/>
      <c r="BN4" s="238"/>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22" t="str">
        <f>IF(Eingabe!A84="","",Eingabe!A84)</f>
        <v/>
      </c>
      <c r="B5" s="145"/>
      <c r="C5" s="145"/>
      <c r="D5" s="145"/>
      <c r="E5" s="145" t="str">
        <f>IF(Eingabe!B84="","",Eingabe!B84)</f>
        <v/>
      </c>
      <c r="F5" s="145"/>
      <c r="G5" s="145"/>
      <c r="H5" s="145"/>
      <c r="I5" s="137" t="str">
        <f>IF(Eingabe!C84="","",Eingabe!C84)</f>
        <v/>
      </c>
      <c r="J5" s="137"/>
      <c r="K5" s="137"/>
      <c r="L5" s="137"/>
      <c r="M5" s="232" t="str">
        <f>IF(Eingabe!D84&amp;""&amp;Eingabe!E84="","",Eingabe!D84&amp;" 
"&amp;Eingabe!E84)</f>
        <v/>
      </c>
      <c r="N5" s="232"/>
      <c r="O5" s="232"/>
      <c r="P5" s="232"/>
      <c r="Q5" s="232"/>
      <c r="R5" s="232"/>
      <c r="S5" s="232"/>
      <c r="T5" s="232"/>
      <c r="U5" s="232"/>
      <c r="V5" s="232"/>
      <c r="W5" s="232"/>
      <c r="X5" s="232"/>
      <c r="Y5" s="232"/>
      <c r="Z5" s="232"/>
      <c r="AA5" s="232"/>
      <c r="AB5" s="232"/>
      <c r="AC5" s="232"/>
      <c r="AD5" s="232"/>
      <c r="AE5" s="232"/>
      <c r="AF5" s="232"/>
      <c r="AG5" s="137" t="str">
        <f>IF(Eingabe!F84&amp;""&amp;Eingabe!G84="","",Eingabe!F84&amp;" 
"&amp;Eingabe!G84)</f>
        <v/>
      </c>
      <c r="AH5" s="137"/>
      <c r="AI5" s="137"/>
      <c r="AJ5" s="137"/>
      <c r="AK5" s="137"/>
      <c r="AL5" s="137"/>
      <c r="AM5" s="137"/>
      <c r="AN5" s="137"/>
      <c r="AO5" s="137"/>
      <c r="AP5" s="137"/>
      <c r="AQ5" s="137"/>
      <c r="AR5" s="137"/>
      <c r="AS5" s="137"/>
      <c r="AT5" s="137"/>
      <c r="AU5" s="137"/>
      <c r="AV5" s="137"/>
      <c r="AW5" s="137"/>
      <c r="AX5" s="137" t="str">
        <f>IF(Eingabe!H84="","",Eingabe!H84)</f>
        <v/>
      </c>
      <c r="AY5" s="137"/>
      <c r="AZ5" s="137"/>
      <c r="BA5" s="137"/>
      <c r="BB5" s="137" t="str">
        <f>IF(Eingabe!K84="","",Eingabe!K84)</f>
        <v/>
      </c>
      <c r="BC5" s="137"/>
      <c r="BD5" s="137"/>
      <c r="BE5" s="137"/>
      <c r="BF5" s="137"/>
      <c r="BG5" s="137"/>
      <c r="BH5" s="137"/>
      <c r="BI5" s="137"/>
      <c r="BJ5" s="137"/>
      <c r="BK5" s="137"/>
      <c r="BL5" s="137"/>
      <c r="BM5" s="137"/>
      <c r="BN5" s="138"/>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22" t="str">
        <f>IF(Eingabe!A85="","",Eingabe!A85)</f>
        <v/>
      </c>
      <c r="B6" s="145"/>
      <c r="C6" s="145"/>
      <c r="D6" s="145"/>
      <c r="E6" s="145" t="str">
        <f>IF(Eingabe!B85="","",Eingabe!B85)</f>
        <v/>
      </c>
      <c r="F6" s="145"/>
      <c r="G6" s="145"/>
      <c r="H6" s="145"/>
      <c r="I6" s="137" t="str">
        <f>IF(Eingabe!C85="","",Eingabe!C85)</f>
        <v/>
      </c>
      <c r="J6" s="137"/>
      <c r="K6" s="137"/>
      <c r="L6" s="137"/>
      <c r="M6" s="232" t="str">
        <f>IF(Eingabe!D85&amp;""&amp;Eingabe!E85="","",Eingabe!D85&amp;" 
"&amp;Eingabe!E85)</f>
        <v/>
      </c>
      <c r="N6" s="232"/>
      <c r="O6" s="232"/>
      <c r="P6" s="232"/>
      <c r="Q6" s="232"/>
      <c r="R6" s="232"/>
      <c r="S6" s="232"/>
      <c r="T6" s="232"/>
      <c r="U6" s="232"/>
      <c r="V6" s="232"/>
      <c r="W6" s="232"/>
      <c r="X6" s="232"/>
      <c r="Y6" s="232"/>
      <c r="Z6" s="232"/>
      <c r="AA6" s="232"/>
      <c r="AB6" s="232"/>
      <c r="AC6" s="232"/>
      <c r="AD6" s="232"/>
      <c r="AE6" s="232"/>
      <c r="AF6" s="232"/>
      <c r="AG6" s="137" t="str">
        <f>IF(Eingabe!F85&amp;""&amp;Eingabe!G85="","",Eingabe!F85&amp;" 
"&amp;Eingabe!G85)</f>
        <v/>
      </c>
      <c r="AH6" s="137"/>
      <c r="AI6" s="137"/>
      <c r="AJ6" s="137"/>
      <c r="AK6" s="137"/>
      <c r="AL6" s="137"/>
      <c r="AM6" s="137"/>
      <c r="AN6" s="137"/>
      <c r="AO6" s="137"/>
      <c r="AP6" s="137"/>
      <c r="AQ6" s="137"/>
      <c r="AR6" s="137"/>
      <c r="AS6" s="137"/>
      <c r="AT6" s="137"/>
      <c r="AU6" s="137"/>
      <c r="AV6" s="137"/>
      <c r="AW6" s="137"/>
      <c r="AX6" s="137" t="str">
        <f>IF(Eingabe!H85="","",Eingabe!H85)</f>
        <v/>
      </c>
      <c r="AY6" s="137"/>
      <c r="AZ6" s="137"/>
      <c r="BA6" s="137"/>
      <c r="BB6" s="137" t="str">
        <f>IF(Eingabe!K85="","",Eingabe!K85)</f>
        <v/>
      </c>
      <c r="BC6" s="137"/>
      <c r="BD6" s="137"/>
      <c r="BE6" s="137"/>
      <c r="BF6" s="137"/>
      <c r="BG6" s="137"/>
      <c r="BH6" s="137"/>
      <c r="BI6" s="137"/>
      <c r="BJ6" s="137"/>
      <c r="BK6" s="137"/>
      <c r="BL6" s="137"/>
      <c r="BM6" s="137"/>
      <c r="BN6" s="138"/>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22" t="str">
        <f>IF(Eingabe!A86="","",Eingabe!A86)</f>
        <v/>
      </c>
      <c r="B7" s="145"/>
      <c r="C7" s="145"/>
      <c r="D7" s="145"/>
      <c r="E7" s="145" t="str">
        <f>IF(Eingabe!B86="","",Eingabe!B86)</f>
        <v/>
      </c>
      <c r="F7" s="145"/>
      <c r="G7" s="145"/>
      <c r="H7" s="145"/>
      <c r="I7" s="137" t="str">
        <f>IF(Eingabe!C86="","",Eingabe!C86)</f>
        <v/>
      </c>
      <c r="J7" s="137"/>
      <c r="K7" s="137"/>
      <c r="L7" s="137"/>
      <c r="M7" s="232" t="str">
        <f>IF(Eingabe!D86&amp;""&amp;Eingabe!E86="","",Eingabe!D86&amp;" 
"&amp;Eingabe!E86)</f>
        <v/>
      </c>
      <c r="N7" s="232"/>
      <c r="O7" s="232"/>
      <c r="P7" s="232"/>
      <c r="Q7" s="232"/>
      <c r="R7" s="232"/>
      <c r="S7" s="232"/>
      <c r="T7" s="232"/>
      <c r="U7" s="232"/>
      <c r="V7" s="232"/>
      <c r="W7" s="232"/>
      <c r="X7" s="232"/>
      <c r="Y7" s="232"/>
      <c r="Z7" s="232"/>
      <c r="AA7" s="232"/>
      <c r="AB7" s="232"/>
      <c r="AC7" s="232"/>
      <c r="AD7" s="232"/>
      <c r="AE7" s="232"/>
      <c r="AF7" s="232"/>
      <c r="AG7" s="137" t="str">
        <f>IF(Eingabe!F86&amp;""&amp;Eingabe!G86="","",Eingabe!F86&amp;" 
"&amp;Eingabe!G86)</f>
        <v/>
      </c>
      <c r="AH7" s="137"/>
      <c r="AI7" s="137"/>
      <c r="AJ7" s="137"/>
      <c r="AK7" s="137"/>
      <c r="AL7" s="137"/>
      <c r="AM7" s="137"/>
      <c r="AN7" s="137"/>
      <c r="AO7" s="137"/>
      <c r="AP7" s="137"/>
      <c r="AQ7" s="137"/>
      <c r="AR7" s="137"/>
      <c r="AS7" s="137"/>
      <c r="AT7" s="137"/>
      <c r="AU7" s="137"/>
      <c r="AV7" s="137"/>
      <c r="AW7" s="137"/>
      <c r="AX7" s="137" t="str">
        <f>IF(Eingabe!H86="","",Eingabe!H86)</f>
        <v/>
      </c>
      <c r="AY7" s="137"/>
      <c r="AZ7" s="137"/>
      <c r="BA7" s="137"/>
      <c r="BB7" s="137" t="str">
        <f>IF(Eingabe!K86="","",Eingabe!K86)</f>
        <v/>
      </c>
      <c r="BC7" s="137"/>
      <c r="BD7" s="137"/>
      <c r="BE7" s="137"/>
      <c r="BF7" s="137"/>
      <c r="BG7" s="137"/>
      <c r="BH7" s="137"/>
      <c r="BI7" s="137"/>
      <c r="BJ7" s="137"/>
      <c r="BK7" s="137"/>
      <c r="BL7" s="137"/>
      <c r="BM7" s="137"/>
      <c r="BN7" s="138"/>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22" t="str">
        <f>IF(Eingabe!A87="","",Eingabe!A87)</f>
        <v/>
      </c>
      <c r="B8" s="145"/>
      <c r="C8" s="145"/>
      <c r="D8" s="145"/>
      <c r="E8" s="145" t="str">
        <f>IF(Eingabe!B87="","",Eingabe!B87)</f>
        <v/>
      </c>
      <c r="F8" s="145"/>
      <c r="G8" s="145"/>
      <c r="H8" s="145"/>
      <c r="I8" s="137" t="str">
        <f>IF(Eingabe!C87="","",Eingabe!C87)</f>
        <v/>
      </c>
      <c r="J8" s="137"/>
      <c r="K8" s="137"/>
      <c r="L8" s="137"/>
      <c r="M8" s="232" t="str">
        <f>IF(Eingabe!D87&amp;""&amp;Eingabe!E87="","",Eingabe!D87&amp;" 
"&amp;Eingabe!E87)</f>
        <v/>
      </c>
      <c r="N8" s="232"/>
      <c r="O8" s="232"/>
      <c r="P8" s="232"/>
      <c r="Q8" s="232"/>
      <c r="R8" s="232"/>
      <c r="S8" s="232"/>
      <c r="T8" s="232"/>
      <c r="U8" s="232"/>
      <c r="V8" s="232"/>
      <c r="W8" s="232"/>
      <c r="X8" s="232"/>
      <c r="Y8" s="232"/>
      <c r="Z8" s="232"/>
      <c r="AA8" s="232"/>
      <c r="AB8" s="232"/>
      <c r="AC8" s="232"/>
      <c r="AD8" s="232"/>
      <c r="AE8" s="232"/>
      <c r="AF8" s="232"/>
      <c r="AG8" s="137" t="str">
        <f>IF(Eingabe!F87&amp;""&amp;Eingabe!G87="","",Eingabe!F87&amp;" 
"&amp;Eingabe!G87)</f>
        <v/>
      </c>
      <c r="AH8" s="137"/>
      <c r="AI8" s="137"/>
      <c r="AJ8" s="137"/>
      <c r="AK8" s="137"/>
      <c r="AL8" s="137"/>
      <c r="AM8" s="137"/>
      <c r="AN8" s="137"/>
      <c r="AO8" s="137"/>
      <c r="AP8" s="137"/>
      <c r="AQ8" s="137"/>
      <c r="AR8" s="137"/>
      <c r="AS8" s="137"/>
      <c r="AT8" s="137"/>
      <c r="AU8" s="137"/>
      <c r="AV8" s="137"/>
      <c r="AW8" s="137"/>
      <c r="AX8" s="137" t="str">
        <f>IF(Eingabe!H87="","",Eingabe!H87)</f>
        <v/>
      </c>
      <c r="AY8" s="137"/>
      <c r="AZ8" s="137"/>
      <c r="BA8" s="137"/>
      <c r="BB8" s="137" t="str">
        <f>IF(Eingabe!K87="","",Eingabe!K87)</f>
        <v/>
      </c>
      <c r="BC8" s="137"/>
      <c r="BD8" s="137"/>
      <c r="BE8" s="137"/>
      <c r="BF8" s="137"/>
      <c r="BG8" s="137"/>
      <c r="BH8" s="137"/>
      <c r="BI8" s="137"/>
      <c r="BJ8" s="137"/>
      <c r="BK8" s="137"/>
      <c r="BL8" s="137"/>
      <c r="BM8" s="137"/>
      <c r="BN8" s="138"/>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22" t="str">
        <f>IF(Eingabe!A88="","",Eingabe!A88)</f>
        <v/>
      </c>
      <c r="B9" s="145"/>
      <c r="C9" s="145"/>
      <c r="D9" s="145"/>
      <c r="E9" s="145" t="str">
        <f>IF(Eingabe!B88="","",Eingabe!B88)</f>
        <v/>
      </c>
      <c r="F9" s="145"/>
      <c r="G9" s="145"/>
      <c r="H9" s="145"/>
      <c r="I9" s="137" t="str">
        <f>IF(Eingabe!C88="","",Eingabe!C88)</f>
        <v/>
      </c>
      <c r="J9" s="137"/>
      <c r="K9" s="137"/>
      <c r="L9" s="137"/>
      <c r="M9" s="232" t="str">
        <f>IF(Eingabe!D88&amp;""&amp;Eingabe!E88="","",Eingabe!D88&amp;" 
"&amp;Eingabe!E88)</f>
        <v/>
      </c>
      <c r="N9" s="232"/>
      <c r="O9" s="232"/>
      <c r="P9" s="232"/>
      <c r="Q9" s="232"/>
      <c r="R9" s="232"/>
      <c r="S9" s="232"/>
      <c r="T9" s="232"/>
      <c r="U9" s="232"/>
      <c r="V9" s="232"/>
      <c r="W9" s="232"/>
      <c r="X9" s="232"/>
      <c r="Y9" s="232"/>
      <c r="Z9" s="232"/>
      <c r="AA9" s="232"/>
      <c r="AB9" s="232"/>
      <c r="AC9" s="232"/>
      <c r="AD9" s="232"/>
      <c r="AE9" s="232"/>
      <c r="AF9" s="232"/>
      <c r="AG9" s="137" t="str">
        <f>IF(Eingabe!F88&amp;""&amp;Eingabe!G88="","",Eingabe!F88&amp;" 
"&amp;Eingabe!G88)</f>
        <v/>
      </c>
      <c r="AH9" s="137"/>
      <c r="AI9" s="137"/>
      <c r="AJ9" s="137"/>
      <c r="AK9" s="137"/>
      <c r="AL9" s="137"/>
      <c r="AM9" s="137"/>
      <c r="AN9" s="137"/>
      <c r="AO9" s="137"/>
      <c r="AP9" s="137"/>
      <c r="AQ9" s="137"/>
      <c r="AR9" s="137"/>
      <c r="AS9" s="137"/>
      <c r="AT9" s="137"/>
      <c r="AU9" s="137"/>
      <c r="AV9" s="137"/>
      <c r="AW9" s="137"/>
      <c r="AX9" s="137" t="str">
        <f>IF(Eingabe!H88="","",Eingabe!H88)</f>
        <v/>
      </c>
      <c r="AY9" s="137"/>
      <c r="AZ9" s="137"/>
      <c r="BA9" s="137"/>
      <c r="BB9" s="137" t="str">
        <f>IF(Eingabe!K88="","",Eingabe!K88)</f>
        <v/>
      </c>
      <c r="BC9" s="137"/>
      <c r="BD9" s="137"/>
      <c r="BE9" s="137"/>
      <c r="BF9" s="137"/>
      <c r="BG9" s="137"/>
      <c r="BH9" s="137"/>
      <c r="BI9" s="137"/>
      <c r="BJ9" s="137"/>
      <c r="BK9" s="137"/>
      <c r="BL9" s="137"/>
      <c r="BM9" s="137"/>
      <c r="BN9" s="138"/>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22" t="str">
        <f>IF(Eingabe!A89="","",Eingabe!A89)</f>
        <v/>
      </c>
      <c r="B10" s="145"/>
      <c r="C10" s="145"/>
      <c r="D10" s="145"/>
      <c r="E10" s="145" t="str">
        <f>IF(Eingabe!B89="","",Eingabe!B89)</f>
        <v/>
      </c>
      <c r="F10" s="145"/>
      <c r="G10" s="145"/>
      <c r="H10" s="145"/>
      <c r="I10" s="137" t="str">
        <f>IF(Eingabe!C89="","",Eingabe!C89)</f>
        <v/>
      </c>
      <c r="J10" s="137"/>
      <c r="K10" s="137"/>
      <c r="L10" s="137"/>
      <c r="M10" s="232" t="str">
        <f>IF(Eingabe!D89&amp;""&amp;Eingabe!E89="","",Eingabe!D89&amp;" 
"&amp;Eingabe!E89)</f>
        <v/>
      </c>
      <c r="N10" s="232"/>
      <c r="O10" s="232"/>
      <c r="P10" s="232"/>
      <c r="Q10" s="232"/>
      <c r="R10" s="232"/>
      <c r="S10" s="232"/>
      <c r="T10" s="232"/>
      <c r="U10" s="232"/>
      <c r="V10" s="232"/>
      <c r="W10" s="232"/>
      <c r="X10" s="232"/>
      <c r="Y10" s="232"/>
      <c r="Z10" s="232"/>
      <c r="AA10" s="232"/>
      <c r="AB10" s="232"/>
      <c r="AC10" s="232"/>
      <c r="AD10" s="232"/>
      <c r="AE10" s="232"/>
      <c r="AF10" s="232"/>
      <c r="AG10" s="137" t="str">
        <f>IF(Eingabe!F89&amp;""&amp;Eingabe!G89="","",Eingabe!F89&amp;" 
"&amp;Eingabe!G89)</f>
        <v/>
      </c>
      <c r="AH10" s="137"/>
      <c r="AI10" s="137"/>
      <c r="AJ10" s="137"/>
      <c r="AK10" s="137"/>
      <c r="AL10" s="137"/>
      <c r="AM10" s="137"/>
      <c r="AN10" s="137"/>
      <c r="AO10" s="137"/>
      <c r="AP10" s="137"/>
      <c r="AQ10" s="137"/>
      <c r="AR10" s="137"/>
      <c r="AS10" s="137"/>
      <c r="AT10" s="137"/>
      <c r="AU10" s="137"/>
      <c r="AV10" s="137"/>
      <c r="AW10" s="137"/>
      <c r="AX10" s="137" t="str">
        <f>IF(Eingabe!H89="","",Eingabe!H89)</f>
        <v/>
      </c>
      <c r="AY10" s="137"/>
      <c r="AZ10" s="137"/>
      <c r="BA10" s="137"/>
      <c r="BB10" s="137" t="str">
        <f>IF(Eingabe!K89="","",Eingabe!K89)</f>
        <v/>
      </c>
      <c r="BC10" s="137"/>
      <c r="BD10" s="137"/>
      <c r="BE10" s="137"/>
      <c r="BF10" s="137"/>
      <c r="BG10" s="137"/>
      <c r="BH10" s="137"/>
      <c r="BI10" s="137"/>
      <c r="BJ10" s="137"/>
      <c r="BK10" s="137"/>
      <c r="BL10" s="137"/>
      <c r="BM10" s="137"/>
      <c r="BN10" s="138"/>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22" t="str">
        <f>IF(Eingabe!A90="","",Eingabe!A90)</f>
        <v/>
      </c>
      <c r="B11" s="145"/>
      <c r="C11" s="145"/>
      <c r="D11" s="145"/>
      <c r="E11" s="145" t="str">
        <f>IF(Eingabe!B90="","",Eingabe!B90)</f>
        <v/>
      </c>
      <c r="F11" s="145"/>
      <c r="G11" s="145"/>
      <c r="H11" s="145"/>
      <c r="I11" s="137" t="str">
        <f>IF(Eingabe!C90="","",Eingabe!C90)</f>
        <v/>
      </c>
      <c r="J11" s="137"/>
      <c r="K11" s="137"/>
      <c r="L11" s="137"/>
      <c r="M11" s="232" t="str">
        <f>IF(Eingabe!D90&amp;""&amp;Eingabe!E90="","",Eingabe!D90&amp;" 
"&amp;Eingabe!E90)</f>
        <v/>
      </c>
      <c r="N11" s="232"/>
      <c r="O11" s="232"/>
      <c r="P11" s="232"/>
      <c r="Q11" s="232"/>
      <c r="R11" s="232"/>
      <c r="S11" s="232"/>
      <c r="T11" s="232"/>
      <c r="U11" s="232"/>
      <c r="V11" s="232"/>
      <c r="W11" s="232"/>
      <c r="X11" s="232"/>
      <c r="Y11" s="232"/>
      <c r="Z11" s="232"/>
      <c r="AA11" s="232"/>
      <c r="AB11" s="232"/>
      <c r="AC11" s="232"/>
      <c r="AD11" s="232"/>
      <c r="AE11" s="232"/>
      <c r="AF11" s="232"/>
      <c r="AG11" s="137" t="str">
        <f>IF(Eingabe!F90&amp;""&amp;Eingabe!G90="","",Eingabe!F90&amp;" 
"&amp;Eingabe!G90)</f>
        <v/>
      </c>
      <c r="AH11" s="137"/>
      <c r="AI11" s="137"/>
      <c r="AJ11" s="137"/>
      <c r="AK11" s="137"/>
      <c r="AL11" s="137"/>
      <c r="AM11" s="137"/>
      <c r="AN11" s="137"/>
      <c r="AO11" s="137"/>
      <c r="AP11" s="137"/>
      <c r="AQ11" s="137"/>
      <c r="AR11" s="137"/>
      <c r="AS11" s="137"/>
      <c r="AT11" s="137"/>
      <c r="AU11" s="137"/>
      <c r="AV11" s="137"/>
      <c r="AW11" s="137"/>
      <c r="AX11" s="137" t="str">
        <f>IF(Eingabe!H90="","",Eingabe!H90)</f>
        <v/>
      </c>
      <c r="AY11" s="137"/>
      <c r="AZ11" s="137"/>
      <c r="BA11" s="137"/>
      <c r="BB11" s="137" t="str">
        <f>IF(Eingabe!K90="","",Eingabe!K90)</f>
        <v/>
      </c>
      <c r="BC11" s="137"/>
      <c r="BD11" s="137"/>
      <c r="BE11" s="137"/>
      <c r="BF11" s="137"/>
      <c r="BG11" s="137"/>
      <c r="BH11" s="137"/>
      <c r="BI11" s="137"/>
      <c r="BJ11" s="137"/>
      <c r="BK11" s="137"/>
      <c r="BL11" s="137"/>
      <c r="BM11" s="137"/>
      <c r="BN11" s="138"/>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22" t="str">
        <f>IF(Eingabe!A91="","",Eingabe!A91)</f>
        <v/>
      </c>
      <c r="B12" s="145"/>
      <c r="C12" s="145"/>
      <c r="D12" s="145"/>
      <c r="E12" s="145" t="str">
        <f>IF(Eingabe!B91="","",Eingabe!B91)</f>
        <v/>
      </c>
      <c r="F12" s="145"/>
      <c r="G12" s="145"/>
      <c r="H12" s="145"/>
      <c r="I12" s="137" t="str">
        <f>IF(Eingabe!C91="","",Eingabe!C91)</f>
        <v/>
      </c>
      <c r="J12" s="137"/>
      <c r="K12" s="137"/>
      <c r="L12" s="137"/>
      <c r="M12" s="232" t="str">
        <f>IF(Eingabe!D91&amp;""&amp;Eingabe!E91="","",Eingabe!D91&amp;" 
"&amp;Eingabe!E91)</f>
        <v/>
      </c>
      <c r="N12" s="232"/>
      <c r="O12" s="232"/>
      <c r="P12" s="232"/>
      <c r="Q12" s="232"/>
      <c r="R12" s="232"/>
      <c r="S12" s="232"/>
      <c r="T12" s="232"/>
      <c r="U12" s="232"/>
      <c r="V12" s="232"/>
      <c r="W12" s="232"/>
      <c r="X12" s="232"/>
      <c r="Y12" s="232"/>
      <c r="Z12" s="232"/>
      <c r="AA12" s="232"/>
      <c r="AB12" s="232"/>
      <c r="AC12" s="232"/>
      <c r="AD12" s="232"/>
      <c r="AE12" s="232"/>
      <c r="AF12" s="232"/>
      <c r="AG12" s="137" t="str">
        <f>IF(Eingabe!F91&amp;""&amp;Eingabe!G91="","",Eingabe!F91&amp;" 
"&amp;Eingabe!G91)</f>
        <v/>
      </c>
      <c r="AH12" s="137"/>
      <c r="AI12" s="137"/>
      <c r="AJ12" s="137"/>
      <c r="AK12" s="137"/>
      <c r="AL12" s="137"/>
      <c r="AM12" s="137"/>
      <c r="AN12" s="137"/>
      <c r="AO12" s="137"/>
      <c r="AP12" s="137"/>
      <c r="AQ12" s="137"/>
      <c r="AR12" s="137"/>
      <c r="AS12" s="137"/>
      <c r="AT12" s="137"/>
      <c r="AU12" s="137"/>
      <c r="AV12" s="137"/>
      <c r="AW12" s="137"/>
      <c r="AX12" s="137" t="str">
        <f>IF(Eingabe!H91="","",Eingabe!H91)</f>
        <v/>
      </c>
      <c r="AY12" s="137"/>
      <c r="AZ12" s="137"/>
      <c r="BA12" s="137"/>
      <c r="BB12" s="137" t="str">
        <f>IF(Eingabe!K91="","",Eingabe!K91)</f>
        <v/>
      </c>
      <c r="BC12" s="137"/>
      <c r="BD12" s="137"/>
      <c r="BE12" s="137"/>
      <c r="BF12" s="137"/>
      <c r="BG12" s="137"/>
      <c r="BH12" s="137"/>
      <c r="BI12" s="137"/>
      <c r="BJ12" s="137"/>
      <c r="BK12" s="137"/>
      <c r="BL12" s="137"/>
      <c r="BM12" s="137"/>
      <c r="BN12" s="138"/>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22" t="str">
        <f>IF(Eingabe!A92="","",Eingabe!A92)</f>
        <v/>
      </c>
      <c r="B13" s="145"/>
      <c r="C13" s="145"/>
      <c r="D13" s="145"/>
      <c r="E13" s="145" t="str">
        <f>IF(Eingabe!B92="","",Eingabe!B92)</f>
        <v/>
      </c>
      <c r="F13" s="145"/>
      <c r="G13" s="145"/>
      <c r="H13" s="145"/>
      <c r="I13" s="137" t="str">
        <f>IF(Eingabe!C92="","",Eingabe!C92)</f>
        <v/>
      </c>
      <c r="J13" s="137"/>
      <c r="K13" s="137"/>
      <c r="L13" s="137"/>
      <c r="M13" s="232" t="str">
        <f>IF(Eingabe!D92&amp;""&amp;Eingabe!E92="","",Eingabe!D92&amp;" 
"&amp;Eingabe!E92)</f>
        <v/>
      </c>
      <c r="N13" s="232"/>
      <c r="O13" s="232"/>
      <c r="P13" s="232"/>
      <c r="Q13" s="232"/>
      <c r="R13" s="232"/>
      <c r="S13" s="232"/>
      <c r="T13" s="232"/>
      <c r="U13" s="232"/>
      <c r="V13" s="232"/>
      <c r="W13" s="232"/>
      <c r="X13" s="232"/>
      <c r="Y13" s="232"/>
      <c r="Z13" s="232"/>
      <c r="AA13" s="232"/>
      <c r="AB13" s="232"/>
      <c r="AC13" s="232"/>
      <c r="AD13" s="232"/>
      <c r="AE13" s="232"/>
      <c r="AF13" s="232"/>
      <c r="AG13" s="137" t="str">
        <f>IF(Eingabe!F92&amp;""&amp;Eingabe!G92="","",Eingabe!F92&amp;" 
"&amp;Eingabe!G92)</f>
        <v/>
      </c>
      <c r="AH13" s="137"/>
      <c r="AI13" s="137"/>
      <c r="AJ13" s="137"/>
      <c r="AK13" s="137"/>
      <c r="AL13" s="137"/>
      <c r="AM13" s="137"/>
      <c r="AN13" s="137"/>
      <c r="AO13" s="137"/>
      <c r="AP13" s="137"/>
      <c r="AQ13" s="137"/>
      <c r="AR13" s="137"/>
      <c r="AS13" s="137"/>
      <c r="AT13" s="137"/>
      <c r="AU13" s="137"/>
      <c r="AV13" s="137"/>
      <c r="AW13" s="137"/>
      <c r="AX13" s="137" t="str">
        <f>IF(Eingabe!H92="","",Eingabe!H92)</f>
        <v/>
      </c>
      <c r="AY13" s="137"/>
      <c r="AZ13" s="137"/>
      <c r="BA13" s="137"/>
      <c r="BB13" s="137" t="str">
        <f>IF(Eingabe!K92="","",Eingabe!K92)</f>
        <v/>
      </c>
      <c r="BC13" s="137"/>
      <c r="BD13" s="137"/>
      <c r="BE13" s="137"/>
      <c r="BF13" s="137"/>
      <c r="BG13" s="137"/>
      <c r="BH13" s="137"/>
      <c r="BI13" s="137"/>
      <c r="BJ13" s="137"/>
      <c r="BK13" s="137"/>
      <c r="BL13" s="137"/>
      <c r="BM13" s="137"/>
      <c r="BN13" s="138"/>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22" t="str">
        <f>IF(Eingabe!A93="","",Eingabe!A93)</f>
        <v/>
      </c>
      <c r="B14" s="145"/>
      <c r="C14" s="145"/>
      <c r="D14" s="145"/>
      <c r="E14" s="145" t="str">
        <f>IF(Eingabe!B93="","",Eingabe!B93)</f>
        <v/>
      </c>
      <c r="F14" s="145"/>
      <c r="G14" s="145"/>
      <c r="H14" s="145"/>
      <c r="I14" s="137" t="str">
        <f>IF(Eingabe!C93="","",Eingabe!C93)</f>
        <v/>
      </c>
      <c r="J14" s="137"/>
      <c r="K14" s="137"/>
      <c r="L14" s="137"/>
      <c r="M14" s="232" t="str">
        <f>IF(Eingabe!D93&amp;""&amp;Eingabe!E93="","",Eingabe!D93&amp;" 
"&amp;Eingabe!E93)</f>
        <v/>
      </c>
      <c r="N14" s="232"/>
      <c r="O14" s="232"/>
      <c r="P14" s="232"/>
      <c r="Q14" s="232"/>
      <c r="R14" s="232"/>
      <c r="S14" s="232"/>
      <c r="T14" s="232"/>
      <c r="U14" s="232"/>
      <c r="V14" s="232"/>
      <c r="W14" s="232"/>
      <c r="X14" s="232"/>
      <c r="Y14" s="232"/>
      <c r="Z14" s="232"/>
      <c r="AA14" s="232"/>
      <c r="AB14" s="232"/>
      <c r="AC14" s="232"/>
      <c r="AD14" s="232"/>
      <c r="AE14" s="232"/>
      <c r="AF14" s="232"/>
      <c r="AG14" s="137" t="str">
        <f>IF(Eingabe!F93&amp;""&amp;Eingabe!G93="","",Eingabe!F93&amp;" 
"&amp;Eingabe!G93)</f>
        <v/>
      </c>
      <c r="AH14" s="137"/>
      <c r="AI14" s="137"/>
      <c r="AJ14" s="137"/>
      <c r="AK14" s="137"/>
      <c r="AL14" s="137"/>
      <c r="AM14" s="137"/>
      <c r="AN14" s="137"/>
      <c r="AO14" s="137"/>
      <c r="AP14" s="137"/>
      <c r="AQ14" s="137"/>
      <c r="AR14" s="137"/>
      <c r="AS14" s="137"/>
      <c r="AT14" s="137"/>
      <c r="AU14" s="137"/>
      <c r="AV14" s="137"/>
      <c r="AW14" s="137"/>
      <c r="AX14" s="137" t="str">
        <f>IF(Eingabe!H93="","",Eingabe!H93)</f>
        <v/>
      </c>
      <c r="AY14" s="137"/>
      <c r="AZ14" s="137"/>
      <c r="BA14" s="137"/>
      <c r="BB14" s="137" t="str">
        <f>IF(Eingabe!K93="","",Eingabe!K93)</f>
        <v/>
      </c>
      <c r="BC14" s="137"/>
      <c r="BD14" s="137"/>
      <c r="BE14" s="137"/>
      <c r="BF14" s="137"/>
      <c r="BG14" s="137"/>
      <c r="BH14" s="137"/>
      <c r="BI14" s="137"/>
      <c r="BJ14" s="137"/>
      <c r="BK14" s="137"/>
      <c r="BL14" s="137"/>
      <c r="BM14" s="137"/>
      <c r="BN14" s="138"/>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22" t="str">
        <f>IF(Eingabe!A94="","",Eingabe!A94)</f>
        <v/>
      </c>
      <c r="B15" s="145"/>
      <c r="C15" s="145"/>
      <c r="D15" s="145"/>
      <c r="E15" s="145" t="str">
        <f>IF(Eingabe!B94="","",Eingabe!B94)</f>
        <v/>
      </c>
      <c r="F15" s="145"/>
      <c r="G15" s="145"/>
      <c r="H15" s="145"/>
      <c r="I15" s="137" t="str">
        <f>IF(Eingabe!C94="","",Eingabe!C94)</f>
        <v/>
      </c>
      <c r="J15" s="137"/>
      <c r="K15" s="137"/>
      <c r="L15" s="137"/>
      <c r="M15" s="232" t="str">
        <f>IF(Eingabe!D94&amp;""&amp;Eingabe!E94="","",Eingabe!D94&amp;" 
"&amp;Eingabe!E94)</f>
        <v/>
      </c>
      <c r="N15" s="232"/>
      <c r="O15" s="232"/>
      <c r="P15" s="232"/>
      <c r="Q15" s="232"/>
      <c r="R15" s="232"/>
      <c r="S15" s="232"/>
      <c r="T15" s="232"/>
      <c r="U15" s="232"/>
      <c r="V15" s="232"/>
      <c r="W15" s="232"/>
      <c r="X15" s="232"/>
      <c r="Y15" s="232"/>
      <c r="Z15" s="232"/>
      <c r="AA15" s="232"/>
      <c r="AB15" s="232"/>
      <c r="AC15" s="232"/>
      <c r="AD15" s="232"/>
      <c r="AE15" s="232"/>
      <c r="AF15" s="232"/>
      <c r="AG15" s="137" t="str">
        <f>IF(Eingabe!F94&amp;""&amp;Eingabe!G94="","",Eingabe!F94&amp;" 
"&amp;Eingabe!G94)</f>
        <v/>
      </c>
      <c r="AH15" s="137"/>
      <c r="AI15" s="137"/>
      <c r="AJ15" s="137"/>
      <c r="AK15" s="137"/>
      <c r="AL15" s="137"/>
      <c r="AM15" s="137"/>
      <c r="AN15" s="137"/>
      <c r="AO15" s="137"/>
      <c r="AP15" s="137"/>
      <c r="AQ15" s="137"/>
      <c r="AR15" s="137"/>
      <c r="AS15" s="137"/>
      <c r="AT15" s="137"/>
      <c r="AU15" s="137"/>
      <c r="AV15" s="137"/>
      <c r="AW15" s="137"/>
      <c r="AX15" s="137" t="str">
        <f>IF(Eingabe!H94="","",Eingabe!H94)</f>
        <v/>
      </c>
      <c r="AY15" s="137"/>
      <c r="AZ15" s="137"/>
      <c r="BA15" s="137"/>
      <c r="BB15" s="137" t="str">
        <f>IF(Eingabe!K94="","",Eingabe!K94)</f>
        <v/>
      </c>
      <c r="BC15" s="137"/>
      <c r="BD15" s="137"/>
      <c r="BE15" s="137"/>
      <c r="BF15" s="137"/>
      <c r="BG15" s="137"/>
      <c r="BH15" s="137"/>
      <c r="BI15" s="137"/>
      <c r="BJ15" s="137"/>
      <c r="BK15" s="137"/>
      <c r="BL15" s="137"/>
      <c r="BM15" s="137"/>
      <c r="BN15" s="138"/>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22" t="str">
        <f>IF(Eingabe!A95="","",Eingabe!A95)</f>
        <v/>
      </c>
      <c r="B16" s="145"/>
      <c r="C16" s="145"/>
      <c r="D16" s="145"/>
      <c r="E16" s="145" t="str">
        <f>IF(Eingabe!B95="","",Eingabe!B95)</f>
        <v/>
      </c>
      <c r="F16" s="145"/>
      <c r="G16" s="145"/>
      <c r="H16" s="145"/>
      <c r="I16" s="137" t="str">
        <f>IF(Eingabe!C95="","",Eingabe!C95)</f>
        <v/>
      </c>
      <c r="J16" s="137"/>
      <c r="K16" s="137"/>
      <c r="L16" s="137"/>
      <c r="M16" s="232" t="str">
        <f>IF(Eingabe!D95&amp;""&amp;Eingabe!E95="","",Eingabe!D95&amp;" 
"&amp;Eingabe!E95)</f>
        <v/>
      </c>
      <c r="N16" s="232"/>
      <c r="O16" s="232"/>
      <c r="P16" s="232"/>
      <c r="Q16" s="232"/>
      <c r="R16" s="232"/>
      <c r="S16" s="232"/>
      <c r="T16" s="232"/>
      <c r="U16" s="232"/>
      <c r="V16" s="232"/>
      <c r="W16" s="232"/>
      <c r="X16" s="232"/>
      <c r="Y16" s="232"/>
      <c r="Z16" s="232"/>
      <c r="AA16" s="232"/>
      <c r="AB16" s="232"/>
      <c r="AC16" s="232"/>
      <c r="AD16" s="232"/>
      <c r="AE16" s="232"/>
      <c r="AF16" s="232"/>
      <c r="AG16" s="137" t="str">
        <f>IF(Eingabe!F95&amp;""&amp;Eingabe!G95="","",Eingabe!F95&amp;" 
"&amp;Eingabe!G95)</f>
        <v/>
      </c>
      <c r="AH16" s="137"/>
      <c r="AI16" s="137"/>
      <c r="AJ16" s="137"/>
      <c r="AK16" s="137"/>
      <c r="AL16" s="137"/>
      <c r="AM16" s="137"/>
      <c r="AN16" s="137"/>
      <c r="AO16" s="137"/>
      <c r="AP16" s="137"/>
      <c r="AQ16" s="137"/>
      <c r="AR16" s="137"/>
      <c r="AS16" s="137"/>
      <c r="AT16" s="137"/>
      <c r="AU16" s="137"/>
      <c r="AV16" s="137"/>
      <c r="AW16" s="137"/>
      <c r="AX16" s="137" t="str">
        <f>IF(Eingabe!H95="","",Eingabe!H95)</f>
        <v/>
      </c>
      <c r="AY16" s="137"/>
      <c r="AZ16" s="137"/>
      <c r="BA16" s="137"/>
      <c r="BB16" s="137" t="str">
        <f>IF(Eingabe!K95="","",Eingabe!K95)</f>
        <v/>
      </c>
      <c r="BC16" s="137"/>
      <c r="BD16" s="137"/>
      <c r="BE16" s="137"/>
      <c r="BF16" s="137"/>
      <c r="BG16" s="137"/>
      <c r="BH16" s="137"/>
      <c r="BI16" s="137"/>
      <c r="BJ16" s="137"/>
      <c r="BK16" s="137"/>
      <c r="BL16" s="137"/>
      <c r="BM16" s="137"/>
      <c r="BN16" s="138"/>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22" t="str">
        <f>IF(Eingabe!A96="","",Eingabe!A96)</f>
        <v/>
      </c>
      <c r="B17" s="145"/>
      <c r="C17" s="145"/>
      <c r="D17" s="145"/>
      <c r="E17" s="145" t="str">
        <f>IF(Eingabe!B96="","",Eingabe!B96)</f>
        <v/>
      </c>
      <c r="F17" s="145"/>
      <c r="G17" s="145"/>
      <c r="H17" s="145"/>
      <c r="I17" s="137" t="str">
        <f>IF(Eingabe!C96="","",Eingabe!C96)</f>
        <v/>
      </c>
      <c r="J17" s="137"/>
      <c r="K17" s="137"/>
      <c r="L17" s="137"/>
      <c r="M17" s="232" t="str">
        <f>IF(Eingabe!D96&amp;""&amp;Eingabe!E96="","",Eingabe!D96&amp;" 
"&amp;Eingabe!E96)</f>
        <v/>
      </c>
      <c r="N17" s="232"/>
      <c r="O17" s="232"/>
      <c r="P17" s="232"/>
      <c r="Q17" s="232"/>
      <c r="R17" s="232"/>
      <c r="S17" s="232"/>
      <c r="T17" s="232"/>
      <c r="U17" s="232"/>
      <c r="V17" s="232"/>
      <c r="W17" s="232"/>
      <c r="X17" s="232"/>
      <c r="Y17" s="232"/>
      <c r="Z17" s="232"/>
      <c r="AA17" s="232"/>
      <c r="AB17" s="232"/>
      <c r="AC17" s="232"/>
      <c r="AD17" s="232"/>
      <c r="AE17" s="232"/>
      <c r="AF17" s="232"/>
      <c r="AG17" s="137" t="str">
        <f>IF(Eingabe!F96&amp;""&amp;Eingabe!G96="","",Eingabe!F96&amp;" 
"&amp;Eingabe!G96)</f>
        <v/>
      </c>
      <c r="AH17" s="137"/>
      <c r="AI17" s="137"/>
      <c r="AJ17" s="137"/>
      <c r="AK17" s="137"/>
      <c r="AL17" s="137"/>
      <c r="AM17" s="137"/>
      <c r="AN17" s="137"/>
      <c r="AO17" s="137"/>
      <c r="AP17" s="137"/>
      <c r="AQ17" s="137"/>
      <c r="AR17" s="137"/>
      <c r="AS17" s="137"/>
      <c r="AT17" s="137"/>
      <c r="AU17" s="137"/>
      <c r="AV17" s="137"/>
      <c r="AW17" s="137"/>
      <c r="AX17" s="137" t="str">
        <f>IF(Eingabe!H96="","",Eingabe!H96)</f>
        <v/>
      </c>
      <c r="AY17" s="137"/>
      <c r="AZ17" s="137"/>
      <c r="BA17" s="137"/>
      <c r="BB17" s="137" t="str">
        <f>IF(Eingabe!K96="","",Eingabe!K96)</f>
        <v/>
      </c>
      <c r="BC17" s="137"/>
      <c r="BD17" s="137"/>
      <c r="BE17" s="137"/>
      <c r="BF17" s="137"/>
      <c r="BG17" s="137"/>
      <c r="BH17" s="137"/>
      <c r="BI17" s="137"/>
      <c r="BJ17" s="137"/>
      <c r="BK17" s="137"/>
      <c r="BL17" s="137"/>
      <c r="BM17" s="137"/>
      <c r="BN17" s="138"/>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22" t="str">
        <f>IF(Eingabe!A97="","",Eingabe!A97)</f>
        <v/>
      </c>
      <c r="B18" s="145"/>
      <c r="C18" s="145"/>
      <c r="D18" s="145"/>
      <c r="E18" s="145" t="str">
        <f>IF(Eingabe!B97="","",Eingabe!B97)</f>
        <v/>
      </c>
      <c r="F18" s="145"/>
      <c r="G18" s="145"/>
      <c r="H18" s="145"/>
      <c r="I18" s="137" t="str">
        <f>IF(Eingabe!C97="","",Eingabe!C97)</f>
        <v/>
      </c>
      <c r="J18" s="137"/>
      <c r="K18" s="137"/>
      <c r="L18" s="137"/>
      <c r="M18" s="232" t="str">
        <f>IF(Eingabe!D97&amp;""&amp;Eingabe!E97="","",Eingabe!D97&amp;" 
"&amp;Eingabe!E97)</f>
        <v/>
      </c>
      <c r="N18" s="232"/>
      <c r="O18" s="232"/>
      <c r="P18" s="232"/>
      <c r="Q18" s="232"/>
      <c r="R18" s="232"/>
      <c r="S18" s="232"/>
      <c r="T18" s="232"/>
      <c r="U18" s="232"/>
      <c r="V18" s="232"/>
      <c r="W18" s="232"/>
      <c r="X18" s="232"/>
      <c r="Y18" s="232"/>
      <c r="Z18" s="232"/>
      <c r="AA18" s="232"/>
      <c r="AB18" s="232"/>
      <c r="AC18" s="232"/>
      <c r="AD18" s="232"/>
      <c r="AE18" s="232"/>
      <c r="AF18" s="232"/>
      <c r="AG18" s="137" t="str">
        <f>IF(Eingabe!F97&amp;""&amp;Eingabe!G97="","",Eingabe!F97&amp;" 
"&amp;Eingabe!G97)</f>
        <v/>
      </c>
      <c r="AH18" s="137"/>
      <c r="AI18" s="137"/>
      <c r="AJ18" s="137"/>
      <c r="AK18" s="137"/>
      <c r="AL18" s="137"/>
      <c r="AM18" s="137"/>
      <c r="AN18" s="137"/>
      <c r="AO18" s="137"/>
      <c r="AP18" s="137"/>
      <c r="AQ18" s="137"/>
      <c r="AR18" s="137"/>
      <c r="AS18" s="137"/>
      <c r="AT18" s="137"/>
      <c r="AU18" s="137"/>
      <c r="AV18" s="137"/>
      <c r="AW18" s="137"/>
      <c r="AX18" s="137" t="str">
        <f>IF(Eingabe!H97="","",Eingabe!H97)</f>
        <v/>
      </c>
      <c r="AY18" s="137"/>
      <c r="AZ18" s="137"/>
      <c r="BA18" s="137"/>
      <c r="BB18" s="137" t="str">
        <f>IF(Eingabe!K97="","",Eingabe!K97)</f>
        <v/>
      </c>
      <c r="BC18" s="137"/>
      <c r="BD18" s="137"/>
      <c r="BE18" s="137"/>
      <c r="BF18" s="137"/>
      <c r="BG18" s="137"/>
      <c r="BH18" s="137"/>
      <c r="BI18" s="137"/>
      <c r="BJ18" s="137"/>
      <c r="BK18" s="137"/>
      <c r="BL18" s="137"/>
      <c r="BM18" s="137"/>
      <c r="BN18" s="138"/>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22" t="str">
        <f>IF(Eingabe!A98="","",Eingabe!A98)</f>
        <v/>
      </c>
      <c r="B19" s="145"/>
      <c r="C19" s="145"/>
      <c r="D19" s="145"/>
      <c r="E19" s="145" t="str">
        <f>IF(Eingabe!B98="","",Eingabe!B98)</f>
        <v/>
      </c>
      <c r="F19" s="145"/>
      <c r="G19" s="145"/>
      <c r="H19" s="145"/>
      <c r="I19" s="137" t="str">
        <f>IF(Eingabe!C98="","",Eingabe!C98)</f>
        <v/>
      </c>
      <c r="J19" s="137"/>
      <c r="K19" s="137"/>
      <c r="L19" s="137"/>
      <c r="M19" s="232" t="str">
        <f>IF(Eingabe!D98&amp;""&amp;Eingabe!E98="","",Eingabe!D98&amp;" 
"&amp;Eingabe!E98)</f>
        <v/>
      </c>
      <c r="N19" s="232"/>
      <c r="O19" s="232"/>
      <c r="P19" s="232"/>
      <c r="Q19" s="232"/>
      <c r="R19" s="232"/>
      <c r="S19" s="232"/>
      <c r="T19" s="232"/>
      <c r="U19" s="232"/>
      <c r="V19" s="232"/>
      <c r="W19" s="232"/>
      <c r="X19" s="232"/>
      <c r="Y19" s="232"/>
      <c r="Z19" s="232"/>
      <c r="AA19" s="232"/>
      <c r="AB19" s="232"/>
      <c r="AC19" s="232"/>
      <c r="AD19" s="232"/>
      <c r="AE19" s="232"/>
      <c r="AF19" s="232"/>
      <c r="AG19" s="137" t="str">
        <f>IF(Eingabe!F98&amp;""&amp;Eingabe!G98="","",Eingabe!F98&amp;" 
"&amp;Eingabe!G98)</f>
        <v/>
      </c>
      <c r="AH19" s="137"/>
      <c r="AI19" s="137"/>
      <c r="AJ19" s="137"/>
      <c r="AK19" s="137"/>
      <c r="AL19" s="137"/>
      <c r="AM19" s="137"/>
      <c r="AN19" s="137"/>
      <c r="AO19" s="137"/>
      <c r="AP19" s="137"/>
      <c r="AQ19" s="137"/>
      <c r="AR19" s="137"/>
      <c r="AS19" s="137"/>
      <c r="AT19" s="137"/>
      <c r="AU19" s="137"/>
      <c r="AV19" s="137"/>
      <c r="AW19" s="137"/>
      <c r="AX19" s="137" t="str">
        <f>IF(Eingabe!H98="","",Eingabe!H98)</f>
        <v/>
      </c>
      <c r="AY19" s="137"/>
      <c r="AZ19" s="137"/>
      <c r="BA19" s="137"/>
      <c r="BB19" s="137" t="str">
        <f>IF(Eingabe!K98="","",Eingabe!K98)</f>
        <v/>
      </c>
      <c r="BC19" s="137"/>
      <c r="BD19" s="137"/>
      <c r="BE19" s="137"/>
      <c r="BF19" s="137"/>
      <c r="BG19" s="137"/>
      <c r="BH19" s="137"/>
      <c r="BI19" s="137"/>
      <c r="BJ19" s="137"/>
      <c r="BK19" s="137"/>
      <c r="BL19" s="137"/>
      <c r="BM19" s="137"/>
      <c r="BN19" s="138"/>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22" t="str">
        <f>IF(Eingabe!A99="","",Eingabe!A99)</f>
        <v/>
      </c>
      <c r="B20" s="145"/>
      <c r="C20" s="145"/>
      <c r="D20" s="145"/>
      <c r="E20" s="145" t="str">
        <f>IF(Eingabe!B99="","",Eingabe!B99)</f>
        <v/>
      </c>
      <c r="F20" s="145"/>
      <c r="G20" s="145"/>
      <c r="H20" s="145"/>
      <c r="I20" s="137" t="str">
        <f>IF(Eingabe!C99="","",Eingabe!C99)</f>
        <v/>
      </c>
      <c r="J20" s="137"/>
      <c r="K20" s="137"/>
      <c r="L20" s="137"/>
      <c r="M20" s="232" t="str">
        <f>IF(Eingabe!D99&amp;""&amp;Eingabe!E99="","",Eingabe!D99&amp;" 
"&amp;Eingabe!E99)</f>
        <v/>
      </c>
      <c r="N20" s="232"/>
      <c r="O20" s="232"/>
      <c r="P20" s="232"/>
      <c r="Q20" s="232"/>
      <c r="R20" s="232"/>
      <c r="S20" s="232"/>
      <c r="T20" s="232"/>
      <c r="U20" s="232"/>
      <c r="V20" s="232"/>
      <c r="W20" s="232"/>
      <c r="X20" s="232"/>
      <c r="Y20" s="232"/>
      <c r="Z20" s="232"/>
      <c r="AA20" s="232"/>
      <c r="AB20" s="232"/>
      <c r="AC20" s="232"/>
      <c r="AD20" s="232"/>
      <c r="AE20" s="232"/>
      <c r="AF20" s="232"/>
      <c r="AG20" s="137" t="str">
        <f>IF(Eingabe!F99&amp;""&amp;Eingabe!G99="","",Eingabe!F99&amp;" 
"&amp;Eingabe!G99)</f>
        <v/>
      </c>
      <c r="AH20" s="137"/>
      <c r="AI20" s="137"/>
      <c r="AJ20" s="137"/>
      <c r="AK20" s="137"/>
      <c r="AL20" s="137"/>
      <c r="AM20" s="137"/>
      <c r="AN20" s="137"/>
      <c r="AO20" s="137"/>
      <c r="AP20" s="137"/>
      <c r="AQ20" s="137"/>
      <c r="AR20" s="137"/>
      <c r="AS20" s="137"/>
      <c r="AT20" s="137"/>
      <c r="AU20" s="137"/>
      <c r="AV20" s="137"/>
      <c r="AW20" s="137"/>
      <c r="AX20" s="137" t="str">
        <f>IF(Eingabe!H99="","",Eingabe!H99)</f>
        <v/>
      </c>
      <c r="AY20" s="137"/>
      <c r="AZ20" s="137"/>
      <c r="BA20" s="137"/>
      <c r="BB20" s="137" t="str">
        <f>IF(Eingabe!K99="","",Eingabe!K99)</f>
        <v/>
      </c>
      <c r="BC20" s="137"/>
      <c r="BD20" s="137"/>
      <c r="BE20" s="137"/>
      <c r="BF20" s="137"/>
      <c r="BG20" s="137"/>
      <c r="BH20" s="137"/>
      <c r="BI20" s="137"/>
      <c r="BJ20" s="137"/>
      <c r="BK20" s="137"/>
      <c r="BL20" s="137"/>
      <c r="BM20" s="137"/>
      <c r="BN20" s="138"/>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22" t="str">
        <f>IF(Eingabe!A100="","",Eingabe!A100)</f>
        <v/>
      </c>
      <c r="B21" s="145"/>
      <c r="C21" s="145"/>
      <c r="D21" s="145"/>
      <c r="E21" s="145" t="str">
        <f>IF(Eingabe!B100="","",Eingabe!B100)</f>
        <v/>
      </c>
      <c r="F21" s="145"/>
      <c r="G21" s="145"/>
      <c r="H21" s="145"/>
      <c r="I21" s="137" t="str">
        <f>IF(Eingabe!C100="","",Eingabe!C100)</f>
        <v/>
      </c>
      <c r="J21" s="137"/>
      <c r="K21" s="137"/>
      <c r="L21" s="137"/>
      <c r="M21" s="232" t="str">
        <f>IF(Eingabe!D100&amp;""&amp;Eingabe!E100="","",Eingabe!D100&amp;" 
"&amp;Eingabe!E100)</f>
        <v/>
      </c>
      <c r="N21" s="232"/>
      <c r="O21" s="232"/>
      <c r="P21" s="232"/>
      <c r="Q21" s="232"/>
      <c r="R21" s="232"/>
      <c r="S21" s="232"/>
      <c r="T21" s="232"/>
      <c r="U21" s="232"/>
      <c r="V21" s="232"/>
      <c r="W21" s="232"/>
      <c r="X21" s="232"/>
      <c r="Y21" s="232"/>
      <c r="Z21" s="232"/>
      <c r="AA21" s="232"/>
      <c r="AB21" s="232"/>
      <c r="AC21" s="232"/>
      <c r="AD21" s="232"/>
      <c r="AE21" s="232"/>
      <c r="AF21" s="232"/>
      <c r="AG21" s="137" t="str">
        <f>IF(Eingabe!F100&amp;""&amp;Eingabe!G100="","",Eingabe!F100&amp;" 
"&amp;Eingabe!G100)</f>
        <v/>
      </c>
      <c r="AH21" s="137"/>
      <c r="AI21" s="137"/>
      <c r="AJ21" s="137"/>
      <c r="AK21" s="137"/>
      <c r="AL21" s="137"/>
      <c r="AM21" s="137"/>
      <c r="AN21" s="137"/>
      <c r="AO21" s="137"/>
      <c r="AP21" s="137"/>
      <c r="AQ21" s="137"/>
      <c r="AR21" s="137"/>
      <c r="AS21" s="137"/>
      <c r="AT21" s="137"/>
      <c r="AU21" s="137"/>
      <c r="AV21" s="137"/>
      <c r="AW21" s="137"/>
      <c r="AX21" s="137" t="str">
        <f>IF(Eingabe!H100="","",Eingabe!H100)</f>
        <v/>
      </c>
      <c r="AY21" s="137"/>
      <c r="AZ21" s="137"/>
      <c r="BA21" s="137"/>
      <c r="BB21" s="137" t="str">
        <f>IF(Eingabe!K100="","",Eingabe!K100)</f>
        <v/>
      </c>
      <c r="BC21" s="137"/>
      <c r="BD21" s="137"/>
      <c r="BE21" s="137"/>
      <c r="BF21" s="137"/>
      <c r="BG21" s="137"/>
      <c r="BH21" s="137"/>
      <c r="BI21" s="137"/>
      <c r="BJ21" s="137"/>
      <c r="BK21" s="137"/>
      <c r="BL21" s="137"/>
      <c r="BM21" s="137"/>
      <c r="BN21" s="138"/>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22" t="str">
        <f>IF(Eingabe!A101="","",Eingabe!A101)</f>
        <v/>
      </c>
      <c r="B22" s="145"/>
      <c r="C22" s="145"/>
      <c r="D22" s="145"/>
      <c r="E22" s="145" t="str">
        <f>IF(Eingabe!B101="","",Eingabe!B101)</f>
        <v/>
      </c>
      <c r="F22" s="145"/>
      <c r="G22" s="145"/>
      <c r="H22" s="145"/>
      <c r="I22" s="137" t="str">
        <f>IF(Eingabe!C101="","",Eingabe!C101)</f>
        <v/>
      </c>
      <c r="J22" s="137"/>
      <c r="K22" s="137"/>
      <c r="L22" s="137"/>
      <c r="M22" s="232" t="str">
        <f>IF(Eingabe!D101&amp;""&amp;Eingabe!E101="","",Eingabe!D101&amp;" 
"&amp;Eingabe!E101)</f>
        <v/>
      </c>
      <c r="N22" s="232"/>
      <c r="O22" s="232"/>
      <c r="P22" s="232"/>
      <c r="Q22" s="232"/>
      <c r="R22" s="232"/>
      <c r="S22" s="232"/>
      <c r="T22" s="232"/>
      <c r="U22" s="232"/>
      <c r="V22" s="232"/>
      <c r="W22" s="232"/>
      <c r="X22" s="232"/>
      <c r="Y22" s="232"/>
      <c r="Z22" s="232"/>
      <c r="AA22" s="232"/>
      <c r="AB22" s="232"/>
      <c r="AC22" s="232"/>
      <c r="AD22" s="232"/>
      <c r="AE22" s="232"/>
      <c r="AF22" s="232"/>
      <c r="AG22" s="137" t="str">
        <f>IF(Eingabe!F101&amp;""&amp;Eingabe!G101="","",Eingabe!F101&amp;" 
"&amp;Eingabe!G101)</f>
        <v/>
      </c>
      <c r="AH22" s="137"/>
      <c r="AI22" s="137"/>
      <c r="AJ22" s="137"/>
      <c r="AK22" s="137"/>
      <c r="AL22" s="137"/>
      <c r="AM22" s="137"/>
      <c r="AN22" s="137"/>
      <c r="AO22" s="137"/>
      <c r="AP22" s="137"/>
      <c r="AQ22" s="137"/>
      <c r="AR22" s="137"/>
      <c r="AS22" s="137"/>
      <c r="AT22" s="137"/>
      <c r="AU22" s="137"/>
      <c r="AV22" s="137"/>
      <c r="AW22" s="137"/>
      <c r="AX22" s="137" t="str">
        <f>IF(Eingabe!H101="","",Eingabe!H101)</f>
        <v/>
      </c>
      <c r="AY22" s="137"/>
      <c r="AZ22" s="137"/>
      <c r="BA22" s="137"/>
      <c r="BB22" s="137" t="str">
        <f>IF(Eingabe!K101="","",Eingabe!K101)</f>
        <v/>
      </c>
      <c r="BC22" s="137"/>
      <c r="BD22" s="137"/>
      <c r="BE22" s="137"/>
      <c r="BF22" s="137"/>
      <c r="BG22" s="137"/>
      <c r="BH22" s="137"/>
      <c r="BI22" s="137"/>
      <c r="BJ22" s="137"/>
      <c r="BK22" s="137"/>
      <c r="BL22" s="137"/>
      <c r="BM22" s="137"/>
      <c r="BN22" s="138"/>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22" t="str">
        <f>IF(Eingabe!A102="","",Eingabe!A102)</f>
        <v/>
      </c>
      <c r="B23" s="145"/>
      <c r="C23" s="145"/>
      <c r="D23" s="145"/>
      <c r="E23" s="145" t="str">
        <f>IF(Eingabe!B102="","",Eingabe!B102)</f>
        <v/>
      </c>
      <c r="F23" s="145"/>
      <c r="G23" s="145"/>
      <c r="H23" s="145"/>
      <c r="I23" s="137" t="str">
        <f>IF(Eingabe!C102="","",Eingabe!C102)</f>
        <v/>
      </c>
      <c r="J23" s="137"/>
      <c r="K23" s="137"/>
      <c r="L23" s="137"/>
      <c r="M23" s="232" t="str">
        <f>IF(Eingabe!D102&amp;""&amp;Eingabe!E102="","",Eingabe!D102&amp;" 
"&amp;Eingabe!E102)</f>
        <v/>
      </c>
      <c r="N23" s="232"/>
      <c r="O23" s="232"/>
      <c r="P23" s="232"/>
      <c r="Q23" s="232"/>
      <c r="R23" s="232"/>
      <c r="S23" s="232"/>
      <c r="T23" s="232"/>
      <c r="U23" s="232"/>
      <c r="V23" s="232"/>
      <c r="W23" s="232"/>
      <c r="X23" s="232"/>
      <c r="Y23" s="232"/>
      <c r="Z23" s="232"/>
      <c r="AA23" s="232"/>
      <c r="AB23" s="232"/>
      <c r="AC23" s="232"/>
      <c r="AD23" s="232"/>
      <c r="AE23" s="232"/>
      <c r="AF23" s="232"/>
      <c r="AG23" s="137" t="str">
        <f>IF(Eingabe!F102&amp;""&amp;Eingabe!G102="","",Eingabe!F102&amp;" 
"&amp;Eingabe!G102)</f>
        <v/>
      </c>
      <c r="AH23" s="137"/>
      <c r="AI23" s="137"/>
      <c r="AJ23" s="137"/>
      <c r="AK23" s="137"/>
      <c r="AL23" s="137"/>
      <c r="AM23" s="137"/>
      <c r="AN23" s="137"/>
      <c r="AO23" s="137"/>
      <c r="AP23" s="137"/>
      <c r="AQ23" s="137"/>
      <c r="AR23" s="137"/>
      <c r="AS23" s="137"/>
      <c r="AT23" s="137"/>
      <c r="AU23" s="137"/>
      <c r="AV23" s="137"/>
      <c r="AW23" s="137"/>
      <c r="AX23" s="137" t="str">
        <f>IF(Eingabe!H102="","",Eingabe!H102)</f>
        <v/>
      </c>
      <c r="AY23" s="137"/>
      <c r="AZ23" s="137"/>
      <c r="BA23" s="137"/>
      <c r="BB23" s="137" t="str">
        <f>IF(Eingabe!K102="","",Eingabe!K102)</f>
        <v/>
      </c>
      <c r="BC23" s="137"/>
      <c r="BD23" s="137"/>
      <c r="BE23" s="137"/>
      <c r="BF23" s="137"/>
      <c r="BG23" s="137"/>
      <c r="BH23" s="137"/>
      <c r="BI23" s="137"/>
      <c r="BJ23" s="137"/>
      <c r="BK23" s="137"/>
      <c r="BL23" s="137"/>
      <c r="BM23" s="137"/>
      <c r="BN23" s="138"/>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22" t="str">
        <f>IF(Eingabe!A103="","",Eingabe!A103)</f>
        <v/>
      </c>
      <c r="B24" s="145"/>
      <c r="C24" s="145"/>
      <c r="D24" s="145"/>
      <c r="E24" s="145" t="str">
        <f>IF(Eingabe!B103="","",Eingabe!B103)</f>
        <v/>
      </c>
      <c r="F24" s="145"/>
      <c r="G24" s="145"/>
      <c r="H24" s="145"/>
      <c r="I24" s="137" t="str">
        <f>IF(Eingabe!C103="","",Eingabe!C103)</f>
        <v/>
      </c>
      <c r="J24" s="137"/>
      <c r="K24" s="137"/>
      <c r="L24" s="137"/>
      <c r="M24" s="232" t="str">
        <f>IF(Eingabe!D103&amp;""&amp;Eingabe!E103="","",Eingabe!D103&amp;" 
"&amp;Eingabe!E103)</f>
        <v/>
      </c>
      <c r="N24" s="232"/>
      <c r="O24" s="232"/>
      <c r="P24" s="232"/>
      <c r="Q24" s="232"/>
      <c r="R24" s="232"/>
      <c r="S24" s="232"/>
      <c r="T24" s="232"/>
      <c r="U24" s="232"/>
      <c r="V24" s="232"/>
      <c r="W24" s="232"/>
      <c r="X24" s="232"/>
      <c r="Y24" s="232"/>
      <c r="Z24" s="232"/>
      <c r="AA24" s="232"/>
      <c r="AB24" s="232"/>
      <c r="AC24" s="232"/>
      <c r="AD24" s="232"/>
      <c r="AE24" s="232"/>
      <c r="AF24" s="232"/>
      <c r="AG24" s="137" t="str">
        <f>IF(Eingabe!F103&amp;""&amp;Eingabe!G103="","",Eingabe!F103&amp;" 
"&amp;Eingabe!G103)</f>
        <v/>
      </c>
      <c r="AH24" s="137"/>
      <c r="AI24" s="137"/>
      <c r="AJ24" s="137"/>
      <c r="AK24" s="137"/>
      <c r="AL24" s="137"/>
      <c r="AM24" s="137"/>
      <c r="AN24" s="137"/>
      <c r="AO24" s="137"/>
      <c r="AP24" s="137"/>
      <c r="AQ24" s="137"/>
      <c r="AR24" s="137"/>
      <c r="AS24" s="137"/>
      <c r="AT24" s="137"/>
      <c r="AU24" s="137"/>
      <c r="AV24" s="137"/>
      <c r="AW24" s="137"/>
      <c r="AX24" s="137" t="str">
        <f>IF(Eingabe!H103="","",Eingabe!H103)</f>
        <v/>
      </c>
      <c r="AY24" s="137"/>
      <c r="AZ24" s="137"/>
      <c r="BA24" s="137"/>
      <c r="BB24" s="137" t="str">
        <f>IF(Eingabe!K103="","",Eingabe!K103)</f>
        <v/>
      </c>
      <c r="BC24" s="137"/>
      <c r="BD24" s="137"/>
      <c r="BE24" s="137"/>
      <c r="BF24" s="137"/>
      <c r="BG24" s="137"/>
      <c r="BH24" s="137"/>
      <c r="BI24" s="137"/>
      <c r="BJ24" s="137"/>
      <c r="BK24" s="137"/>
      <c r="BL24" s="137"/>
      <c r="BM24" s="137"/>
      <c r="BN24" s="138"/>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22" t="str">
        <f>IF(Eingabe!A104="","",Eingabe!A104)</f>
        <v/>
      </c>
      <c r="B25" s="145"/>
      <c r="C25" s="145"/>
      <c r="D25" s="145"/>
      <c r="E25" s="145" t="str">
        <f>IF(Eingabe!B104="","",Eingabe!B104)</f>
        <v/>
      </c>
      <c r="F25" s="145"/>
      <c r="G25" s="145"/>
      <c r="H25" s="145"/>
      <c r="I25" s="137" t="str">
        <f>IF(Eingabe!C104="","",Eingabe!C104)</f>
        <v/>
      </c>
      <c r="J25" s="137"/>
      <c r="K25" s="137"/>
      <c r="L25" s="137"/>
      <c r="M25" s="232" t="str">
        <f>IF(Eingabe!D104&amp;""&amp;Eingabe!E104="","",Eingabe!D104&amp;" 
"&amp;Eingabe!E104)</f>
        <v/>
      </c>
      <c r="N25" s="232"/>
      <c r="O25" s="232"/>
      <c r="P25" s="232"/>
      <c r="Q25" s="232"/>
      <c r="R25" s="232"/>
      <c r="S25" s="232"/>
      <c r="T25" s="232"/>
      <c r="U25" s="232"/>
      <c r="V25" s="232"/>
      <c r="W25" s="232"/>
      <c r="X25" s="232"/>
      <c r="Y25" s="232"/>
      <c r="Z25" s="232"/>
      <c r="AA25" s="232"/>
      <c r="AB25" s="232"/>
      <c r="AC25" s="232"/>
      <c r="AD25" s="232"/>
      <c r="AE25" s="232"/>
      <c r="AF25" s="232"/>
      <c r="AG25" s="137" t="str">
        <f>IF(Eingabe!F104&amp;""&amp;Eingabe!G104="","",Eingabe!F104&amp;" 
"&amp;Eingabe!G104)</f>
        <v/>
      </c>
      <c r="AH25" s="137"/>
      <c r="AI25" s="137"/>
      <c r="AJ25" s="137"/>
      <c r="AK25" s="137"/>
      <c r="AL25" s="137"/>
      <c r="AM25" s="137"/>
      <c r="AN25" s="137"/>
      <c r="AO25" s="137"/>
      <c r="AP25" s="137"/>
      <c r="AQ25" s="137"/>
      <c r="AR25" s="137"/>
      <c r="AS25" s="137"/>
      <c r="AT25" s="137"/>
      <c r="AU25" s="137"/>
      <c r="AV25" s="137"/>
      <c r="AW25" s="137"/>
      <c r="AX25" s="137" t="str">
        <f>IF(Eingabe!H104="","",Eingabe!H104)</f>
        <v/>
      </c>
      <c r="AY25" s="137"/>
      <c r="AZ25" s="137"/>
      <c r="BA25" s="137"/>
      <c r="BB25" s="137" t="str">
        <f>IF(Eingabe!K104="","",Eingabe!K104)</f>
        <v/>
      </c>
      <c r="BC25" s="137"/>
      <c r="BD25" s="137"/>
      <c r="BE25" s="137"/>
      <c r="BF25" s="137"/>
      <c r="BG25" s="137"/>
      <c r="BH25" s="137"/>
      <c r="BI25" s="137"/>
      <c r="BJ25" s="137"/>
      <c r="BK25" s="137"/>
      <c r="BL25" s="137"/>
      <c r="BM25" s="137"/>
      <c r="BN25" s="138"/>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22" t="str">
        <f>IF(Eingabe!A105="","",Eingabe!A105)</f>
        <v/>
      </c>
      <c r="B26" s="145"/>
      <c r="C26" s="145"/>
      <c r="D26" s="145"/>
      <c r="E26" s="145" t="str">
        <f>IF(Eingabe!B105="","",Eingabe!B105)</f>
        <v/>
      </c>
      <c r="F26" s="145"/>
      <c r="G26" s="145"/>
      <c r="H26" s="145"/>
      <c r="I26" s="137" t="str">
        <f>IF(Eingabe!C105="","",Eingabe!C105)</f>
        <v/>
      </c>
      <c r="J26" s="137"/>
      <c r="K26" s="137"/>
      <c r="L26" s="137"/>
      <c r="M26" s="232" t="str">
        <f>IF(Eingabe!D105&amp;""&amp;Eingabe!E105="","",Eingabe!D105&amp;" 
"&amp;Eingabe!E105)</f>
        <v/>
      </c>
      <c r="N26" s="232"/>
      <c r="O26" s="232"/>
      <c r="P26" s="232"/>
      <c r="Q26" s="232"/>
      <c r="R26" s="232"/>
      <c r="S26" s="232"/>
      <c r="T26" s="232"/>
      <c r="U26" s="232"/>
      <c r="V26" s="232"/>
      <c r="W26" s="232"/>
      <c r="X26" s="232"/>
      <c r="Y26" s="232"/>
      <c r="Z26" s="232"/>
      <c r="AA26" s="232"/>
      <c r="AB26" s="232"/>
      <c r="AC26" s="232"/>
      <c r="AD26" s="232"/>
      <c r="AE26" s="232"/>
      <c r="AF26" s="232"/>
      <c r="AG26" s="137" t="str">
        <f>IF(Eingabe!F105&amp;""&amp;Eingabe!G105="","",Eingabe!F105&amp;" 
"&amp;Eingabe!G105)</f>
        <v/>
      </c>
      <c r="AH26" s="137"/>
      <c r="AI26" s="137"/>
      <c r="AJ26" s="137"/>
      <c r="AK26" s="137"/>
      <c r="AL26" s="137"/>
      <c r="AM26" s="137"/>
      <c r="AN26" s="137"/>
      <c r="AO26" s="137"/>
      <c r="AP26" s="137"/>
      <c r="AQ26" s="137"/>
      <c r="AR26" s="137"/>
      <c r="AS26" s="137"/>
      <c r="AT26" s="137"/>
      <c r="AU26" s="137"/>
      <c r="AV26" s="137"/>
      <c r="AW26" s="137"/>
      <c r="AX26" s="137" t="str">
        <f>IF(Eingabe!H105="","",Eingabe!H105)</f>
        <v/>
      </c>
      <c r="AY26" s="137"/>
      <c r="AZ26" s="137"/>
      <c r="BA26" s="137"/>
      <c r="BB26" s="137" t="str">
        <f>IF(Eingabe!K105="","",Eingabe!K105)</f>
        <v/>
      </c>
      <c r="BC26" s="137"/>
      <c r="BD26" s="137"/>
      <c r="BE26" s="137"/>
      <c r="BF26" s="137"/>
      <c r="BG26" s="137"/>
      <c r="BH26" s="137"/>
      <c r="BI26" s="137"/>
      <c r="BJ26" s="137"/>
      <c r="BK26" s="137"/>
      <c r="BL26" s="137"/>
      <c r="BM26" s="137"/>
      <c r="BN26" s="138"/>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22" t="str">
        <f>IF(Eingabe!A106="","",Eingabe!A106)</f>
        <v/>
      </c>
      <c r="B27" s="145"/>
      <c r="C27" s="145"/>
      <c r="D27" s="145"/>
      <c r="E27" s="145" t="str">
        <f>IF(Eingabe!B106="","",Eingabe!B106)</f>
        <v/>
      </c>
      <c r="F27" s="145"/>
      <c r="G27" s="145"/>
      <c r="H27" s="145"/>
      <c r="I27" s="137" t="str">
        <f>IF(Eingabe!C106="","",Eingabe!C106)</f>
        <v/>
      </c>
      <c r="J27" s="137"/>
      <c r="K27" s="137"/>
      <c r="L27" s="137"/>
      <c r="M27" s="232" t="str">
        <f>IF(Eingabe!D106&amp;""&amp;Eingabe!E106="","",Eingabe!D106&amp;" 
"&amp;Eingabe!E106)</f>
        <v/>
      </c>
      <c r="N27" s="232"/>
      <c r="O27" s="232"/>
      <c r="P27" s="232"/>
      <c r="Q27" s="232"/>
      <c r="R27" s="232"/>
      <c r="S27" s="232"/>
      <c r="T27" s="232"/>
      <c r="U27" s="232"/>
      <c r="V27" s="232"/>
      <c r="W27" s="232"/>
      <c r="X27" s="232"/>
      <c r="Y27" s="232"/>
      <c r="Z27" s="232"/>
      <c r="AA27" s="232"/>
      <c r="AB27" s="232"/>
      <c r="AC27" s="232"/>
      <c r="AD27" s="232"/>
      <c r="AE27" s="232"/>
      <c r="AF27" s="232"/>
      <c r="AG27" s="137" t="str">
        <f>IF(Eingabe!F106&amp;""&amp;Eingabe!G106="","",Eingabe!F106&amp;" 
"&amp;Eingabe!G106)</f>
        <v/>
      </c>
      <c r="AH27" s="137"/>
      <c r="AI27" s="137"/>
      <c r="AJ27" s="137"/>
      <c r="AK27" s="137"/>
      <c r="AL27" s="137"/>
      <c r="AM27" s="137"/>
      <c r="AN27" s="137"/>
      <c r="AO27" s="137"/>
      <c r="AP27" s="137"/>
      <c r="AQ27" s="137"/>
      <c r="AR27" s="137"/>
      <c r="AS27" s="137"/>
      <c r="AT27" s="137"/>
      <c r="AU27" s="137"/>
      <c r="AV27" s="137"/>
      <c r="AW27" s="137"/>
      <c r="AX27" s="137" t="str">
        <f>IF(Eingabe!H106="","",Eingabe!H106)</f>
        <v/>
      </c>
      <c r="AY27" s="137"/>
      <c r="AZ27" s="137"/>
      <c r="BA27" s="137"/>
      <c r="BB27" s="137" t="str">
        <f>IF(Eingabe!K106="","",Eingabe!K106)</f>
        <v/>
      </c>
      <c r="BC27" s="137"/>
      <c r="BD27" s="137"/>
      <c r="BE27" s="137"/>
      <c r="BF27" s="137"/>
      <c r="BG27" s="137"/>
      <c r="BH27" s="137"/>
      <c r="BI27" s="137"/>
      <c r="BJ27" s="137"/>
      <c r="BK27" s="137"/>
      <c r="BL27" s="137"/>
      <c r="BM27" s="137"/>
      <c r="BN27" s="138"/>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20" t="str">
        <f>IF(Eingabe!A107="","",Eingabe!A107)</f>
        <v/>
      </c>
      <c r="B28" s="221"/>
      <c r="C28" s="221"/>
      <c r="D28" s="221"/>
      <c r="E28" s="221" t="str">
        <f>IF(Eingabe!B107="","",Eingabe!B107)</f>
        <v/>
      </c>
      <c r="F28" s="221"/>
      <c r="G28" s="221"/>
      <c r="H28" s="221"/>
      <c r="I28" s="182" t="str">
        <f>IF(Eingabe!C107="","",Eingabe!C107)</f>
        <v/>
      </c>
      <c r="J28" s="182"/>
      <c r="K28" s="182"/>
      <c r="L28" s="182"/>
      <c r="M28" s="232" t="str">
        <f>IF(Eingabe!D107&amp;""&amp;Eingabe!E107="","",Eingabe!D107&amp;" 
"&amp;Eingabe!E107)</f>
        <v/>
      </c>
      <c r="N28" s="232"/>
      <c r="O28" s="232"/>
      <c r="P28" s="232"/>
      <c r="Q28" s="232"/>
      <c r="R28" s="232"/>
      <c r="S28" s="232"/>
      <c r="T28" s="232"/>
      <c r="U28" s="232"/>
      <c r="V28" s="232"/>
      <c r="W28" s="232"/>
      <c r="X28" s="232"/>
      <c r="Y28" s="232"/>
      <c r="Z28" s="232"/>
      <c r="AA28" s="232"/>
      <c r="AB28" s="232"/>
      <c r="AC28" s="232"/>
      <c r="AD28" s="232"/>
      <c r="AE28" s="232"/>
      <c r="AF28" s="232"/>
      <c r="AG28" s="137" t="str">
        <f>IF(Eingabe!F107&amp;""&amp;Eingabe!G107="","",Eingabe!F107&amp;" 
"&amp;Eingabe!G107)</f>
        <v/>
      </c>
      <c r="AH28" s="137"/>
      <c r="AI28" s="137"/>
      <c r="AJ28" s="137"/>
      <c r="AK28" s="137"/>
      <c r="AL28" s="137"/>
      <c r="AM28" s="137"/>
      <c r="AN28" s="137"/>
      <c r="AO28" s="137"/>
      <c r="AP28" s="137"/>
      <c r="AQ28" s="137"/>
      <c r="AR28" s="137"/>
      <c r="AS28" s="137"/>
      <c r="AT28" s="137"/>
      <c r="AU28" s="137"/>
      <c r="AV28" s="137"/>
      <c r="AW28" s="137"/>
      <c r="AX28" s="182" t="str">
        <f>IF(Eingabe!H107="","",Eingabe!H107)</f>
        <v/>
      </c>
      <c r="AY28" s="182"/>
      <c r="AZ28" s="182"/>
      <c r="BA28" s="182"/>
      <c r="BB28" s="182" t="str">
        <f>IF(Eingabe!K107="","",Eingabe!K107)</f>
        <v/>
      </c>
      <c r="BC28" s="182"/>
      <c r="BD28" s="182"/>
      <c r="BE28" s="182"/>
      <c r="BF28" s="182"/>
      <c r="BG28" s="182"/>
      <c r="BH28" s="182"/>
      <c r="BI28" s="182"/>
      <c r="BJ28" s="182"/>
      <c r="BK28" s="182"/>
      <c r="BL28" s="182"/>
      <c r="BM28" s="182"/>
      <c r="BN28" s="233"/>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83" t="s">
        <v>0</v>
      </c>
      <c r="B29" s="184"/>
      <c r="C29" s="184"/>
      <c r="D29" s="184"/>
      <c r="E29" s="184"/>
      <c r="F29" s="184"/>
      <c r="G29" s="184"/>
      <c r="H29" s="184"/>
      <c r="I29" s="184"/>
      <c r="J29" s="184"/>
      <c r="K29" s="184"/>
      <c r="L29" s="184"/>
      <c r="M29" s="184"/>
      <c r="N29" s="184"/>
      <c r="O29" s="184"/>
      <c r="P29" s="184"/>
      <c r="Q29" s="184"/>
      <c r="R29" s="184"/>
      <c r="S29" s="184"/>
      <c r="T29" s="184"/>
      <c r="U29" s="184"/>
      <c r="V29" s="185"/>
      <c r="W29" s="134" t="s">
        <v>1</v>
      </c>
      <c r="X29" s="135"/>
      <c r="Y29" s="135"/>
      <c r="Z29" s="135"/>
      <c r="AA29" s="135"/>
      <c r="AB29" s="135"/>
      <c r="AC29" s="135"/>
      <c r="AD29" s="135"/>
      <c r="AE29" s="135"/>
      <c r="AF29" s="135"/>
      <c r="AG29" s="135"/>
      <c r="AH29" s="135"/>
      <c r="AI29" s="135"/>
      <c r="AJ29" s="135"/>
      <c r="AK29" s="135"/>
      <c r="AL29" s="135"/>
      <c r="AM29" s="135"/>
      <c r="AN29" s="135"/>
      <c r="AO29" s="135"/>
      <c r="AP29" s="135"/>
      <c r="AQ29" s="135"/>
      <c r="AR29" s="136"/>
      <c r="AS29" s="134" t="s">
        <v>2</v>
      </c>
      <c r="AT29" s="135"/>
      <c r="AU29" s="135"/>
      <c r="AV29" s="135"/>
      <c r="AW29" s="135"/>
      <c r="AX29" s="135"/>
      <c r="AY29" s="135"/>
      <c r="AZ29" s="135"/>
      <c r="BA29" s="136"/>
      <c r="BB29" s="134" t="s">
        <v>3</v>
      </c>
      <c r="BC29" s="135"/>
      <c r="BD29" s="135"/>
      <c r="BE29" s="135"/>
      <c r="BF29" s="135"/>
      <c r="BG29" s="135"/>
      <c r="BH29" s="135"/>
      <c r="BI29" s="135"/>
      <c r="BJ29" s="135"/>
      <c r="BK29" s="135"/>
      <c r="BL29" s="135"/>
      <c r="BM29" s="135"/>
      <c r="BN29" s="136"/>
    </row>
    <row r="30" spans="1:256" ht="10.5" customHeight="1" x14ac:dyDescent="0.2">
      <c r="A30" s="146" t="str">
        <f>IF(Eingabe!O2="","",Eingabe!O2)</f>
        <v>Beilage 3</v>
      </c>
      <c r="B30" s="147"/>
      <c r="C30" s="147"/>
      <c r="D30" s="147"/>
      <c r="E30" s="147"/>
      <c r="F30" s="147"/>
      <c r="G30" s="147"/>
      <c r="H30" s="147"/>
      <c r="I30" s="147"/>
      <c r="J30" s="147"/>
      <c r="K30" s="147"/>
      <c r="L30" s="147"/>
      <c r="M30" s="147"/>
      <c r="N30" s="147"/>
      <c r="O30" s="147"/>
      <c r="P30" s="147"/>
      <c r="Q30" s="147"/>
      <c r="R30" s="147"/>
      <c r="S30" s="147"/>
      <c r="T30" s="147"/>
      <c r="U30" s="147"/>
      <c r="V30" s="148"/>
      <c r="W30" s="186" t="str">
        <f>IF(Eingabe!E3="","",Eingabe!E3)</f>
        <v>Max Mustermann</v>
      </c>
      <c r="X30" s="187"/>
      <c r="Y30" s="187"/>
      <c r="Z30" s="187"/>
      <c r="AA30" s="187"/>
      <c r="AB30" s="187"/>
      <c r="AC30" s="187"/>
      <c r="AD30" s="187"/>
      <c r="AE30" s="187"/>
      <c r="AF30" s="187"/>
      <c r="AG30" s="187"/>
      <c r="AH30" s="187"/>
      <c r="AI30" s="187"/>
      <c r="AJ30" s="187"/>
      <c r="AK30" s="187"/>
      <c r="AL30" s="187"/>
      <c r="AM30" s="187"/>
      <c r="AN30" s="187"/>
      <c r="AO30" s="187"/>
      <c r="AP30" s="187"/>
      <c r="AQ30" s="187"/>
      <c r="AR30" s="188"/>
      <c r="AS30" s="192" t="str">
        <f>IF(Eingabe!I1="","",Eingabe!I1)</f>
        <v/>
      </c>
      <c r="AT30" s="193"/>
      <c r="AU30" s="193"/>
      <c r="AV30" s="193"/>
      <c r="AW30" s="193"/>
      <c r="AX30" s="193"/>
      <c r="AY30" s="193"/>
      <c r="AZ30" s="193"/>
      <c r="BA30" s="194"/>
      <c r="BB30" s="210" t="str">
        <f>IF(Eingabe!I2="","",Eingabe!I2)</f>
        <v/>
      </c>
      <c r="BC30" s="211"/>
      <c r="BD30" s="211"/>
      <c r="BE30" s="211"/>
      <c r="BF30" s="211"/>
      <c r="BG30" s="211"/>
      <c r="BH30" s="211"/>
      <c r="BI30" s="211"/>
      <c r="BJ30" s="211"/>
      <c r="BK30" s="211"/>
      <c r="BL30" s="211"/>
      <c r="BM30" s="211"/>
      <c r="BN30" s="212"/>
    </row>
    <row r="31" spans="1:256" ht="10.5" customHeight="1" thickBot="1" x14ac:dyDescent="0.25">
      <c r="A31" s="149"/>
      <c r="B31" s="150"/>
      <c r="C31" s="150"/>
      <c r="D31" s="150"/>
      <c r="E31" s="150"/>
      <c r="F31" s="150"/>
      <c r="G31" s="150"/>
      <c r="H31" s="150"/>
      <c r="I31" s="150"/>
      <c r="J31" s="150"/>
      <c r="K31" s="150"/>
      <c r="L31" s="150"/>
      <c r="M31" s="150"/>
      <c r="N31" s="150"/>
      <c r="O31" s="150"/>
      <c r="P31" s="150"/>
      <c r="Q31" s="150"/>
      <c r="R31" s="150"/>
      <c r="S31" s="150"/>
      <c r="T31" s="150"/>
      <c r="U31" s="150"/>
      <c r="V31" s="151"/>
      <c r="W31" s="189"/>
      <c r="X31" s="190"/>
      <c r="Y31" s="190"/>
      <c r="Z31" s="190"/>
      <c r="AA31" s="190"/>
      <c r="AB31" s="190"/>
      <c r="AC31" s="190"/>
      <c r="AD31" s="190"/>
      <c r="AE31" s="190"/>
      <c r="AF31" s="190"/>
      <c r="AG31" s="190"/>
      <c r="AH31" s="190"/>
      <c r="AI31" s="190"/>
      <c r="AJ31" s="190"/>
      <c r="AK31" s="190"/>
      <c r="AL31" s="190"/>
      <c r="AM31" s="190"/>
      <c r="AN31" s="190"/>
      <c r="AO31" s="190"/>
      <c r="AP31" s="190"/>
      <c r="AQ31" s="190"/>
      <c r="AR31" s="191"/>
      <c r="AS31" s="195"/>
      <c r="AT31" s="196"/>
      <c r="AU31" s="196"/>
      <c r="AV31" s="196"/>
      <c r="AW31" s="196"/>
      <c r="AX31" s="196"/>
      <c r="AY31" s="196"/>
      <c r="AZ31" s="196"/>
      <c r="BA31" s="197"/>
      <c r="BB31" s="213"/>
      <c r="BC31" s="214"/>
      <c r="BD31" s="214"/>
      <c r="BE31" s="214"/>
      <c r="BF31" s="214"/>
      <c r="BG31" s="214"/>
      <c r="BH31" s="214"/>
      <c r="BI31" s="214"/>
      <c r="BJ31" s="214"/>
      <c r="BK31" s="214"/>
      <c r="BL31" s="214"/>
      <c r="BM31" s="214"/>
      <c r="BN31" s="215"/>
    </row>
    <row r="32" spans="1:256" ht="10.5" customHeight="1" x14ac:dyDescent="0.2">
      <c r="A32" s="173"/>
      <c r="B32" s="174"/>
      <c r="C32" s="174"/>
      <c r="D32" s="174"/>
      <c r="E32" s="174"/>
      <c r="F32" s="174"/>
      <c r="G32" s="174"/>
      <c r="H32" s="174"/>
      <c r="I32" s="174"/>
      <c r="J32" s="174"/>
      <c r="K32" s="174"/>
      <c r="L32" s="174"/>
      <c r="M32" s="174"/>
      <c r="N32" s="174"/>
      <c r="O32" s="174"/>
      <c r="P32" s="174"/>
      <c r="Q32" s="174"/>
      <c r="R32" s="174"/>
      <c r="S32" s="174"/>
      <c r="T32" s="174"/>
      <c r="U32" s="174"/>
      <c r="V32" s="175"/>
      <c r="W32" s="134" t="s">
        <v>4</v>
      </c>
      <c r="X32" s="135"/>
      <c r="Y32" s="135"/>
      <c r="Z32" s="135"/>
      <c r="AA32" s="135"/>
      <c r="AB32" s="135"/>
      <c r="AC32" s="135"/>
      <c r="AD32" s="135"/>
      <c r="AE32" s="135"/>
      <c r="AF32" s="136"/>
      <c r="AG32" s="134" t="s">
        <v>5</v>
      </c>
      <c r="AH32" s="135"/>
      <c r="AI32" s="135"/>
      <c r="AJ32" s="136"/>
      <c r="AK32" s="134" t="s">
        <v>6</v>
      </c>
      <c r="AL32" s="135"/>
      <c r="AM32" s="135"/>
      <c r="AN32" s="136"/>
      <c r="AO32" s="134" t="s">
        <v>7</v>
      </c>
      <c r="AP32" s="135"/>
      <c r="AQ32" s="135"/>
      <c r="AR32" s="136"/>
      <c r="AS32" s="198" t="s">
        <v>8</v>
      </c>
      <c r="AT32" s="199"/>
      <c r="AU32" s="199"/>
      <c r="AV32" s="199"/>
      <c r="AW32" s="199"/>
      <c r="AX32" s="199"/>
      <c r="AY32" s="199"/>
      <c r="AZ32" s="199"/>
      <c r="BA32" s="199"/>
      <c r="BB32" s="199"/>
      <c r="BC32" s="199"/>
      <c r="BD32" s="199"/>
      <c r="BE32" s="199"/>
      <c r="BF32" s="199"/>
      <c r="BG32" s="199"/>
      <c r="BH32" s="200"/>
      <c r="BI32" s="134" t="s">
        <v>9</v>
      </c>
      <c r="BJ32" s="135"/>
      <c r="BK32" s="135"/>
      <c r="BL32" s="135"/>
      <c r="BM32" s="135"/>
      <c r="BN32" s="136"/>
    </row>
    <row r="33" spans="1:66" ht="10.5" customHeight="1" x14ac:dyDescent="0.2">
      <c r="A33" s="176"/>
      <c r="B33" s="177"/>
      <c r="C33" s="177"/>
      <c r="D33" s="177"/>
      <c r="E33" s="177"/>
      <c r="F33" s="177"/>
      <c r="G33" s="177"/>
      <c r="H33" s="177"/>
      <c r="I33" s="177"/>
      <c r="J33" s="177"/>
      <c r="K33" s="177"/>
      <c r="L33" s="177"/>
      <c r="M33" s="177"/>
      <c r="N33" s="177"/>
      <c r="O33" s="177"/>
      <c r="P33" s="177"/>
      <c r="Q33" s="177"/>
      <c r="R33" s="177"/>
      <c r="S33" s="177"/>
      <c r="T33" s="177"/>
      <c r="U33" s="177"/>
      <c r="V33" s="178"/>
      <c r="W33" s="167" t="str">
        <f>IF(CONCATENATE(Eingabe!E1," ", Eingabe!E2)="","",CONCATENATE(Eingabe!E1," ", Eingabe!E2))</f>
        <v>xxHELx xx</v>
      </c>
      <c r="X33" s="168"/>
      <c r="Y33" s="168"/>
      <c r="Z33" s="168"/>
      <c r="AA33" s="168"/>
      <c r="AB33" s="168"/>
      <c r="AC33" s="168"/>
      <c r="AD33" s="168"/>
      <c r="AE33" s="168"/>
      <c r="AF33" s="169"/>
      <c r="AG33" s="167" t="str">
        <f>IF(Eingabe!E4="","",Eingabe!E4)</f>
        <v>MusM</v>
      </c>
      <c r="AH33" s="168"/>
      <c r="AI33" s="168"/>
      <c r="AJ33" s="169"/>
      <c r="AK33" s="152" t="str">
        <f>IF(Eingabe!I3="","",Eingabe!I3)</f>
        <v/>
      </c>
      <c r="AL33" s="153"/>
      <c r="AM33" s="153"/>
      <c r="AN33" s="154"/>
      <c r="AO33" s="152" t="str">
        <f>IF(Eingabe!I4="","",Eingabe!I4)</f>
        <v/>
      </c>
      <c r="AP33" s="153"/>
      <c r="AQ33" s="153"/>
      <c r="AR33" s="154"/>
      <c r="AS33" s="139" t="str">
        <f>IF(Eingabe!L1="","",Eingabe!L1)</f>
        <v>Stückliste</v>
      </c>
      <c r="AT33" s="140"/>
      <c r="AU33" s="140"/>
      <c r="AV33" s="140"/>
      <c r="AW33" s="140"/>
      <c r="AX33" s="140"/>
      <c r="AY33" s="140"/>
      <c r="AZ33" s="140"/>
      <c r="BA33" s="140"/>
      <c r="BB33" s="140"/>
      <c r="BC33" s="140"/>
      <c r="BD33" s="140"/>
      <c r="BE33" s="140"/>
      <c r="BF33" s="140"/>
      <c r="BG33" s="140"/>
      <c r="BH33" s="141"/>
      <c r="BI33" s="167" t="str">
        <f>IF(Eingabe!I5="","",Eingabe!I5)</f>
        <v>StrH</v>
      </c>
      <c r="BJ33" s="168"/>
      <c r="BK33" s="168"/>
      <c r="BL33" s="168"/>
      <c r="BM33" s="168"/>
      <c r="BN33" s="169"/>
    </row>
    <row r="34" spans="1:66" ht="10.5" customHeight="1" thickBot="1" x14ac:dyDescent="0.25">
      <c r="A34" s="176"/>
      <c r="B34" s="177"/>
      <c r="C34" s="177"/>
      <c r="D34" s="177"/>
      <c r="E34" s="177"/>
      <c r="F34" s="177"/>
      <c r="G34" s="177"/>
      <c r="H34" s="177"/>
      <c r="I34" s="177"/>
      <c r="J34" s="177"/>
      <c r="K34" s="177"/>
      <c r="L34" s="177"/>
      <c r="M34" s="177"/>
      <c r="N34" s="177"/>
      <c r="O34" s="177"/>
      <c r="P34" s="177"/>
      <c r="Q34" s="177"/>
      <c r="R34" s="177"/>
      <c r="S34" s="177"/>
      <c r="T34" s="177"/>
      <c r="U34" s="177"/>
      <c r="V34" s="178"/>
      <c r="W34" s="170"/>
      <c r="X34" s="171"/>
      <c r="Y34" s="171"/>
      <c r="Z34" s="171"/>
      <c r="AA34" s="171"/>
      <c r="AB34" s="171"/>
      <c r="AC34" s="171"/>
      <c r="AD34" s="171"/>
      <c r="AE34" s="171"/>
      <c r="AF34" s="172"/>
      <c r="AG34" s="170"/>
      <c r="AH34" s="171"/>
      <c r="AI34" s="171"/>
      <c r="AJ34" s="172"/>
      <c r="AK34" s="155"/>
      <c r="AL34" s="156"/>
      <c r="AM34" s="156"/>
      <c r="AN34" s="157"/>
      <c r="AO34" s="155"/>
      <c r="AP34" s="156"/>
      <c r="AQ34" s="156"/>
      <c r="AR34" s="157"/>
      <c r="AS34" s="142"/>
      <c r="AT34" s="143"/>
      <c r="AU34" s="143"/>
      <c r="AV34" s="143"/>
      <c r="AW34" s="143"/>
      <c r="AX34" s="143"/>
      <c r="AY34" s="143"/>
      <c r="AZ34" s="143"/>
      <c r="BA34" s="143"/>
      <c r="BB34" s="143"/>
      <c r="BC34" s="143"/>
      <c r="BD34" s="143"/>
      <c r="BE34" s="143"/>
      <c r="BF34" s="143"/>
      <c r="BG34" s="143"/>
      <c r="BH34" s="144"/>
      <c r="BI34" s="170"/>
      <c r="BJ34" s="171"/>
      <c r="BK34" s="171"/>
      <c r="BL34" s="171"/>
      <c r="BM34" s="171"/>
      <c r="BN34" s="172"/>
    </row>
    <row r="35" spans="1:66" ht="10.5" customHeight="1" x14ac:dyDescent="0.2">
      <c r="A35" s="176"/>
      <c r="B35" s="177"/>
      <c r="C35" s="177"/>
      <c r="D35" s="177"/>
      <c r="E35" s="177"/>
      <c r="F35" s="177"/>
      <c r="G35" s="177"/>
      <c r="H35" s="177"/>
      <c r="I35" s="177"/>
      <c r="J35" s="177"/>
      <c r="K35" s="177"/>
      <c r="L35" s="177"/>
      <c r="M35" s="177"/>
      <c r="N35" s="177"/>
      <c r="O35" s="177"/>
      <c r="P35" s="177"/>
      <c r="Q35" s="177"/>
      <c r="R35" s="177"/>
      <c r="S35" s="177"/>
      <c r="T35" s="177"/>
      <c r="U35" s="177"/>
      <c r="V35" s="178"/>
      <c r="W35" s="134" t="s">
        <v>10</v>
      </c>
      <c r="X35" s="135"/>
      <c r="Y35" s="135"/>
      <c r="Z35" s="135"/>
      <c r="AA35" s="135"/>
      <c r="AB35" s="135"/>
      <c r="AC35" s="135"/>
      <c r="AD35" s="135"/>
      <c r="AE35" s="135"/>
      <c r="AF35" s="135"/>
      <c r="AG35" s="135"/>
      <c r="AH35" s="135"/>
      <c r="AI35" s="135"/>
      <c r="AJ35" s="135"/>
      <c r="AK35" s="135"/>
      <c r="AL35" s="135"/>
      <c r="AM35" s="135"/>
      <c r="AN35" s="135"/>
      <c r="AO35" s="135"/>
      <c r="AP35" s="135"/>
      <c r="AQ35" s="135"/>
      <c r="AR35" s="136"/>
      <c r="AS35" s="134" t="s">
        <v>11</v>
      </c>
      <c r="AT35" s="135"/>
      <c r="AU35" s="135"/>
      <c r="AV35" s="135"/>
      <c r="AW35" s="135"/>
      <c r="AX35" s="135"/>
      <c r="AY35" s="136"/>
      <c r="AZ35" s="134" t="s">
        <v>12</v>
      </c>
      <c r="BA35" s="135"/>
      <c r="BB35" s="135"/>
      <c r="BC35" s="135"/>
      <c r="BD35" s="136"/>
      <c r="BE35" s="134" t="s">
        <v>13</v>
      </c>
      <c r="BF35" s="135"/>
      <c r="BG35" s="135"/>
      <c r="BH35" s="135"/>
      <c r="BI35" s="135"/>
      <c r="BJ35" s="135"/>
      <c r="BK35" s="135"/>
      <c r="BL35" s="135"/>
      <c r="BM35" s="135"/>
      <c r="BN35" s="136"/>
    </row>
    <row r="36" spans="1:66" ht="10.5" customHeight="1" x14ac:dyDescent="0.2">
      <c r="A36" s="176"/>
      <c r="B36" s="177"/>
      <c r="C36" s="177"/>
      <c r="D36" s="177"/>
      <c r="E36" s="177"/>
      <c r="F36" s="177"/>
      <c r="G36" s="177"/>
      <c r="H36" s="177"/>
      <c r="I36" s="177"/>
      <c r="J36" s="177"/>
      <c r="K36" s="177"/>
      <c r="L36" s="177"/>
      <c r="M36" s="177"/>
      <c r="N36" s="177"/>
      <c r="O36" s="177"/>
      <c r="P36" s="177"/>
      <c r="Q36" s="177"/>
      <c r="R36" s="177"/>
      <c r="S36" s="177"/>
      <c r="T36" s="177"/>
      <c r="U36" s="177"/>
      <c r="V36" s="178"/>
      <c r="W36" s="179" t="str">
        <f>IF(Eingabe!E5="","",Eingabe!E5)</f>
        <v>Gemini 4</v>
      </c>
      <c r="X36" s="180"/>
      <c r="Y36" s="180"/>
      <c r="Z36" s="180"/>
      <c r="AA36" s="180"/>
      <c r="AB36" s="180"/>
      <c r="AC36" s="180"/>
      <c r="AD36" s="180"/>
      <c r="AE36" s="180"/>
      <c r="AF36" s="180"/>
      <c r="AG36" s="180"/>
      <c r="AH36" s="180"/>
      <c r="AI36" s="180"/>
      <c r="AJ36" s="180"/>
      <c r="AK36" s="180"/>
      <c r="AL36" s="180"/>
      <c r="AM36" s="180"/>
      <c r="AN36" s="180"/>
      <c r="AO36" s="180"/>
      <c r="AP36" s="180"/>
      <c r="AQ36" s="180"/>
      <c r="AR36" s="181"/>
      <c r="AS36" s="219" t="str">
        <f>IF(Eingabe!L3="","",Eingabe!L3)</f>
        <v>4.4</v>
      </c>
      <c r="AT36" s="193"/>
      <c r="AU36" s="193"/>
      <c r="AV36" s="193"/>
      <c r="AW36" s="193"/>
      <c r="AX36" s="193"/>
      <c r="AY36" s="194"/>
      <c r="AZ36" s="210" t="str">
        <f>IF(Eingabe!L4="","",Eingabe!L4)</f>
        <v>002</v>
      </c>
      <c r="BA36" s="211"/>
      <c r="BB36" s="211"/>
      <c r="BC36" s="211"/>
      <c r="BD36" s="212"/>
      <c r="BE36" s="139" t="str">
        <f>IF(Eingabe!L5="","",Eingabe!L5)</f>
        <v>Fertigung</v>
      </c>
      <c r="BF36" s="140"/>
      <c r="BG36" s="140"/>
      <c r="BH36" s="140"/>
      <c r="BI36" s="140"/>
      <c r="BJ36" s="140"/>
      <c r="BK36" s="140"/>
      <c r="BL36" s="140"/>
      <c r="BM36" s="140"/>
      <c r="BN36" s="141"/>
    </row>
    <row r="37" spans="1:66" ht="10.5" customHeight="1" thickBot="1" x14ac:dyDescent="0.25">
      <c r="A37" s="164" t="s">
        <v>14</v>
      </c>
      <c r="B37" s="165"/>
      <c r="C37" s="165"/>
      <c r="D37" s="165"/>
      <c r="E37" s="165"/>
      <c r="F37" s="165"/>
      <c r="G37" s="165"/>
      <c r="H37" s="165"/>
      <c r="I37" s="165"/>
      <c r="J37" s="165"/>
      <c r="K37" s="165"/>
      <c r="L37" s="165"/>
      <c r="M37" s="165"/>
      <c r="N37" s="165"/>
      <c r="O37" s="165"/>
      <c r="P37" s="165"/>
      <c r="Q37" s="165"/>
      <c r="R37" s="165"/>
      <c r="S37" s="165"/>
      <c r="T37" s="165"/>
      <c r="U37" s="165"/>
      <c r="V37" s="166"/>
      <c r="W37" s="179"/>
      <c r="X37" s="180"/>
      <c r="Y37" s="180"/>
      <c r="Z37" s="180"/>
      <c r="AA37" s="180"/>
      <c r="AB37" s="180"/>
      <c r="AC37" s="180"/>
      <c r="AD37" s="180"/>
      <c r="AE37" s="180"/>
      <c r="AF37" s="180"/>
      <c r="AG37" s="180"/>
      <c r="AH37" s="180"/>
      <c r="AI37" s="180"/>
      <c r="AJ37" s="180"/>
      <c r="AK37" s="180"/>
      <c r="AL37" s="180"/>
      <c r="AM37" s="180"/>
      <c r="AN37" s="180"/>
      <c r="AO37" s="180"/>
      <c r="AP37" s="180"/>
      <c r="AQ37" s="180"/>
      <c r="AR37" s="181"/>
      <c r="AS37" s="195"/>
      <c r="AT37" s="196"/>
      <c r="AU37" s="196"/>
      <c r="AV37" s="196"/>
      <c r="AW37" s="196"/>
      <c r="AX37" s="196"/>
      <c r="AY37" s="197"/>
      <c r="AZ37" s="213"/>
      <c r="BA37" s="214"/>
      <c r="BB37" s="214"/>
      <c r="BC37" s="214"/>
      <c r="BD37" s="215"/>
      <c r="BE37" s="142"/>
      <c r="BF37" s="143"/>
      <c r="BG37" s="143"/>
      <c r="BH37" s="143"/>
      <c r="BI37" s="143"/>
      <c r="BJ37" s="143"/>
      <c r="BK37" s="143"/>
      <c r="BL37" s="143"/>
      <c r="BM37" s="143"/>
      <c r="BN37" s="144"/>
    </row>
    <row r="38" spans="1:66" ht="10.5" customHeight="1" x14ac:dyDescent="0.2">
      <c r="A38" s="164"/>
      <c r="B38" s="165"/>
      <c r="C38" s="165"/>
      <c r="D38" s="165"/>
      <c r="E38" s="165"/>
      <c r="F38" s="165"/>
      <c r="G38" s="165"/>
      <c r="H38" s="165"/>
      <c r="I38" s="165"/>
      <c r="J38" s="165"/>
      <c r="K38" s="165"/>
      <c r="L38" s="165"/>
      <c r="M38" s="165"/>
      <c r="N38" s="165"/>
      <c r="O38" s="165"/>
      <c r="P38" s="165"/>
      <c r="Q38" s="165"/>
      <c r="R38" s="165"/>
      <c r="S38" s="165"/>
      <c r="T38" s="165"/>
      <c r="U38" s="165"/>
      <c r="V38" s="166"/>
      <c r="W38" s="179"/>
      <c r="X38" s="180"/>
      <c r="Y38" s="180"/>
      <c r="Z38" s="180"/>
      <c r="AA38" s="180"/>
      <c r="AB38" s="180"/>
      <c r="AC38" s="180"/>
      <c r="AD38" s="180"/>
      <c r="AE38" s="180"/>
      <c r="AF38" s="180"/>
      <c r="AG38" s="180"/>
      <c r="AH38" s="180"/>
      <c r="AI38" s="180"/>
      <c r="AJ38" s="180"/>
      <c r="AK38" s="180"/>
      <c r="AL38" s="180"/>
      <c r="AM38" s="180"/>
      <c r="AN38" s="180"/>
      <c r="AO38" s="180"/>
      <c r="AP38" s="180"/>
      <c r="AQ38" s="180"/>
      <c r="AR38" s="181"/>
      <c r="AS38" s="216" t="s">
        <v>15</v>
      </c>
      <c r="AT38" s="217"/>
      <c r="AU38" s="217"/>
      <c r="AV38" s="218"/>
      <c r="AW38" s="202" t="s">
        <v>16</v>
      </c>
      <c r="AX38" s="202"/>
      <c r="AY38" s="203"/>
      <c r="AZ38" s="134" t="s">
        <v>17</v>
      </c>
      <c r="BA38" s="135"/>
      <c r="BB38" s="135"/>
      <c r="BC38" s="135"/>
      <c r="BD38" s="135"/>
      <c r="BE38" s="135"/>
      <c r="BF38" s="135"/>
      <c r="BG38" s="135"/>
      <c r="BH38" s="136"/>
      <c r="BI38" s="201" t="s">
        <v>18</v>
      </c>
      <c r="BJ38" s="202"/>
      <c r="BK38" s="203"/>
      <c r="BL38" s="14" t="s">
        <v>19</v>
      </c>
      <c r="BM38" s="15"/>
      <c r="BN38" s="16"/>
    </row>
    <row r="39" spans="1:66" ht="10.5" customHeight="1" x14ac:dyDescent="0.2">
      <c r="A39" s="158" t="str">
        <f>IF(Eingabe!M6="","",Eingabe!M6)</f>
        <v>Technische Informatik</v>
      </c>
      <c r="B39" s="159"/>
      <c r="C39" s="159"/>
      <c r="D39" s="159"/>
      <c r="E39" s="159"/>
      <c r="F39" s="159"/>
      <c r="G39" s="159"/>
      <c r="H39" s="159"/>
      <c r="I39" s="159"/>
      <c r="J39" s="159"/>
      <c r="K39" s="159"/>
      <c r="L39" s="159"/>
      <c r="M39" s="159"/>
      <c r="N39" s="159"/>
      <c r="O39" s="159"/>
      <c r="P39" s="159"/>
      <c r="Q39" s="159"/>
      <c r="R39" s="159"/>
      <c r="S39" s="159"/>
      <c r="T39" s="159"/>
      <c r="U39" s="159"/>
      <c r="V39" s="160"/>
      <c r="W39" s="139" t="str">
        <f>IF(Eingabe!E6="","",Eingabe!E6)</f>
        <v>Entwicklerboard</v>
      </c>
      <c r="X39" s="140"/>
      <c r="Y39" s="140"/>
      <c r="Z39" s="140"/>
      <c r="AA39" s="140"/>
      <c r="AB39" s="140"/>
      <c r="AC39" s="140"/>
      <c r="AD39" s="140"/>
      <c r="AE39" s="140"/>
      <c r="AF39" s="140"/>
      <c r="AG39" s="140"/>
      <c r="AH39" s="140"/>
      <c r="AI39" s="140"/>
      <c r="AJ39" s="140"/>
      <c r="AK39" s="140"/>
      <c r="AL39" s="140"/>
      <c r="AM39" s="140"/>
      <c r="AN39" s="140"/>
      <c r="AO39" s="140"/>
      <c r="AP39" s="140"/>
      <c r="AQ39" s="140"/>
      <c r="AR39" s="141"/>
      <c r="AS39" s="152" t="str">
        <f>IF(Eingabe!L6="","",Eingabe!L6)</f>
        <v>ohne</v>
      </c>
      <c r="AT39" s="153"/>
      <c r="AU39" s="153"/>
      <c r="AV39" s="154"/>
      <c r="AW39" s="168" t="str">
        <f>IF(Eingabe!I6="","",Eingabe!I6)</f>
        <v>DE</v>
      </c>
      <c r="AX39" s="168"/>
      <c r="AY39" s="169"/>
      <c r="AZ39" s="204">
        <f ca="1">IF(Eingabe!L2="","",Eingabe!L2)</f>
        <v>42272</v>
      </c>
      <c r="BA39" s="205"/>
      <c r="BB39" s="205"/>
      <c r="BC39" s="205"/>
      <c r="BD39" s="205"/>
      <c r="BE39" s="205"/>
      <c r="BF39" s="205"/>
      <c r="BG39" s="205"/>
      <c r="BH39" s="206"/>
      <c r="BI39" s="152">
        <v>4</v>
      </c>
      <c r="BJ39" s="153"/>
      <c r="BK39" s="154"/>
      <c r="BL39" s="152">
        <f>(5-(IF(Eingabe!$C$33="","1","0"))-(IF(Eingabe!$C$58="","1","0"))-(IF(Eingabe!$C$83="","1","0"))-(IF(Eingabe!$C$108="","1","0")))</f>
        <v>1</v>
      </c>
      <c r="BM39" s="153"/>
      <c r="BN39" s="154"/>
    </row>
    <row r="40" spans="1:66" ht="10.5" customHeight="1" thickBot="1" x14ac:dyDescent="0.25">
      <c r="A40" s="161"/>
      <c r="B40" s="162"/>
      <c r="C40" s="162"/>
      <c r="D40" s="162"/>
      <c r="E40" s="162"/>
      <c r="F40" s="162"/>
      <c r="G40" s="162"/>
      <c r="H40" s="162"/>
      <c r="I40" s="162"/>
      <c r="J40" s="162"/>
      <c r="K40" s="162"/>
      <c r="L40" s="162"/>
      <c r="M40" s="162"/>
      <c r="N40" s="162"/>
      <c r="O40" s="162"/>
      <c r="P40" s="162"/>
      <c r="Q40" s="162"/>
      <c r="R40" s="162"/>
      <c r="S40" s="162"/>
      <c r="T40" s="162"/>
      <c r="U40" s="162"/>
      <c r="V40" s="163"/>
      <c r="W40" s="142"/>
      <c r="X40" s="143"/>
      <c r="Y40" s="143"/>
      <c r="Z40" s="143"/>
      <c r="AA40" s="143"/>
      <c r="AB40" s="143"/>
      <c r="AC40" s="143"/>
      <c r="AD40" s="143"/>
      <c r="AE40" s="143"/>
      <c r="AF40" s="143"/>
      <c r="AG40" s="143"/>
      <c r="AH40" s="143"/>
      <c r="AI40" s="143"/>
      <c r="AJ40" s="143"/>
      <c r="AK40" s="143"/>
      <c r="AL40" s="143"/>
      <c r="AM40" s="143"/>
      <c r="AN40" s="143"/>
      <c r="AO40" s="143"/>
      <c r="AP40" s="143"/>
      <c r="AQ40" s="143"/>
      <c r="AR40" s="144"/>
      <c r="AS40" s="155"/>
      <c r="AT40" s="156"/>
      <c r="AU40" s="156"/>
      <c r="AV40" s="157"/>
      <c r="AW40" s="171"/>
      <c r="AX40" s="171"/>
      <c r="AY40" s="172"/>
      <c r="AZ40" s="207"/>
      <c r="BA40" s="208"/>
      <c r="BB40" s="208"/>
      <c r="BC40" s="208"/>
      <c r="BD40" s="208"/>
      <c r="BE40" s="208"/>
      <c r="BF40" s="208"/>
      <c r="BG40" s="208"/>
      <c r="BH40" s="209"/>
      <c r="BI40" s="155"/>
      <c r="BJ40" s="156"/>
      <c r="BK40" s="157"/>
      <c r="BL40" s="155"/>
      <c r="BM40" s="156"/>
      <c r="BN40" s="15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4:D4"/>
    <mergeCell ref="AG5:AW5"/>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9:BA19"/>
    <mergeCell ref="BB19:BN19"/>
    <mergeCell ref="AX14:BA14"/>
    <mergeCell ref="BB17:BN17"/>
    <mergeCell ref="BB18:BN18"/>
    <mergeCell ref="AG2:AW3"/>
    <mergeCell ref="BB14:BN14"/>
    <mergeCell ref="AX11:BA11"/>
    <mergeCell ref="BB6:BN6"/>
    <mergeCell ref="BB8:BN8"/>
    <mergeCell ref="BB4:BN4"/>
    <mergeCell ref="BB5:BN5"/>
    <mergeCell ref="AX8:BA8"/>
    <mergeCell ref="BB12:BN12"/>
    <mergeCell ref="AX15:BA15"/>
    <mergeCell ref="BB15:BN15"/>
    <mergeCell ref="BB10:BN10"/>
    <mergeCell ref="AG4:AW4"/>
    <mergeCell ref="AX10:BA10"/>
    <mergeCell ref="AG9:AW9"/>
    <mergeCell ref="AX4:BA4"/>
    <mergeCell ref="AG8:AW8"/>
    <mergeCell ref="M7:AF7"/>
    <mergeCell ref="E4:H4"/>
    <mergeCell ref="I8:L8"/>
    <mergeCell ref="M8:AF8"/>
    <mergeCell ref="E8:H8"/>
    <mergeCell ref="AG15:AW15"/>
    <mergeCell ref="A12:D12"/>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41"/>
  <sheetViews>
    <sheetView view="pageBreakPreview" zoomScale="89" zoomScaleNormal="57" zoomScaleSheetLayoutView="89" workbookViewId="0">
      <selection activeCell="A4" sqref="A4:D4"/>
    </sheetView>
  </sheetViews>
  <sheetFormatPr baseColWidth="10" defaultColWidth="10.625" defaultRowHeight="14.25" x14ac:dyDescent="0.2"/>
  <cols>
    <col min="1" max="66" width="1.25" style="2" customWidth="1"/>
    <col min="67" max="16384" width="10.625" style="2"/>
  </cols>
  <sheetData>
    <row r="1" spans="1:256" ht="15.75" customHeight="1" x14ac:dyDescent="0.2">
      <c r="A1" s="225">
        <v>1</v>
      </c>
      <c r="B1" s="224"/>
      <c r="C1" s="224"/>
      <c r="D1" s="224"/>
      <c r="E1" s="224">
        <v>2</v>
      </c>
      <c r="F1" s="224"/>
      <c r="G1" s="224"/>
      <c r="H1" s="224"/>
      <c r="I1" s="224">
        <v>3</v>
      </c>
      <c r="J1" s="224"/>
      <c r="K1" s="224"/>
      <c r="L1" s="224"/>
      <c r="M1" s="224">
        <v>4</v>
      </c>
      <c r="N1" s="224"/>
      <c r="O1" s="224"/>
      <c r="P1" s="224"/>
      <c r="Q1" s="224"/>
      <c r="R1" s="224"/>
      <c r="S1" s="224"/>
      <c r="T1" s="224"/>
      <c r="U1" s="224"/>
      <c r="V1" s="224"/>
      <c r="W1" s="224"/>
      <c r="X1" s="224"/>
      <c r="Y1" s="224"/>
      <c r="Z1" s="224"/>
      <c r="AA1" s="224"/>
      <c r="AB1" s="224"/>
      <c r="AC1" s="224"/>
      <c r="AD1" s="224"/>
      <c r="AE1" s="224"/>
      <c r="AF1" s="224"/>
      <c r="AG1" s="224">
        <v>5</v>
      </c>
      <c r="AH1" s="224"/>
      <c r="AI1" s="224"/>
      <c r="AJ1" s="224"/>
      <c r="AK1" s="224"/>
      <c r="AL1" s="224"/>
      <c r="AM1" s="224"/>
      <c r="AN1" s="224"/>
      <c r="AO1" s="224"/>
      <c r="AP1" s="224"/>
      <c r="AQ1" s="224"/>
      <c r="AR1" s="224"/>
      <c r="AS1" s="224"/>
      <c r="AT1" s="224"/>
      <c r="AU1" s="224"/>
      <c r="AV1" s="224"/>
      <c r="AW1" s="224"/>
      <c r="AX1" s="224">
        <v>6</v>
      </c>
      <c r="AY1" s="224"/>
      <c r="AZ1" s="224"/>
      <c r="BA1" s="224"/>
      <c r="BB1" s="224">
        <v>7</v>
      </c>
      <c r="BC1" s="224"/>
      <c r="BD1" s="224"/>
      <c r="BE1" s="224"/>
      <c r="BF1" s="224"/>
      <c r="BG1" s="224"/>
      <c r="BH1" s="224"/>
      <c r="BI1" s="224"/>
      <c r="BJ1" s="224"/>
      <c r="BK1" s="224"/>
      <c r="BL1" s="224"/>
      <c r="BM1" s="224"/>
      <c r="BN1" s="234"/>
      <c r="BO1" s="1"/>
    </row>
    <row r="2" spans="1:256" ht="18.75" customHeight="1" x14ac:dyDescent="0.2">
      <c r="A2" s="230" t="str">
        <f>Eingabe!A7</f>
        <v>Lfd. 
Nr.</v>
      </c>
      <c r="B2" s="228"/>
      <c r="C2" s="228"/>
      <c r="D2" s="228"/>
      <c r="E2" s="228" t="str">
        <f>Eingabe!B7</f>
        <v>Stück-
zahl</v>
      </c>
      <c r="F2" s="228"/>
      <c r="G2" s="228"/>
      <c r="H2" s="228"/>
      <c r="I2" s="228" t="str">
        <f>Eingabe!C7</f>
        <v>Ein-
heit</v>
      </c>
      <c r="J2" s="228"/>
      <c r="K2" s="228"/>
      <c r="L2" s="228"/>
      <c r="M2" s="235" t="str">
        <f>Eingabe!D7</f>
        <v>Benennung</v>
      </c>
      <c r="N2" s="235"/>
      <c r="O2" s="235"/>
      <c r="P2" s="235"/>
      <c r="Q2" s="235"/>
      <c r="R2" s="235"/>
      <c r="S2" s="235"/>
      <c r="T2" s="235"/>
      <c r="U2" s="235"/>
      <c r="V2" s="235"/>
      <c r="W2" s="235"/>
      <c r="X2" s="235"/>
      <c r="Y2" s="235"/>
      <c r="Z2" s="235"/>
      <c r="AA2" s="235"/>
      <c r="AB2" s="235"/>
      <c r="AC2" s="235"/>
      <c r="AD2" s="235"/>
      <c r="AE2" s="235"/>
      <c r="AF2" s="235"/>
      <c r="AG2" s="235" t="str">
        <f>Eingabe!F7&amp;" / "&amp;Eingabe!G7</f>
        <v>Lieferant / Bestellnummer</v>
      </c>
      <c r="AH2" s="235"/>
      <c r="AI2" s="235"/>
      <c r="AJ2" s="235"/>
      <c r="AK2" s="235"/>
      <c r="AL2" s="235"/>
      <c r="AM2" s="235"/>
      <c r="AN2" s="235"/>
      <c r="AO2" s="235"/>
      <c r="AP2" s="235"/>
      <c r="AQ2" s="235"/>
      <c r="AR2" s="235"/>
      <c r="AS2" s="235"/>
      <c r="AT2" s="235"/>
      <c r="AU2" s="235"/>
      <c r="AV2" s="235"/>
      <c r="AW2" s="235"/>
      <c r="AX2" s="239" t="str">
        <f>Eingabe!H7</f>
        <v>MCd</v>
      </c>
      <c r="AY2" s="240"/>
      <c r="AZ2" s="240"/>
      <c r="BA2" s="241"/>
      <c r="BB2" s="235" t="str">
        <f>Eingabe!K7</f>
        <v>Bemerkung</v>
      </c>
      <c r="BC2" s="235"/>
      <c r="BD2" s="235"/>
      <c r="BE2" s="235"/>
      <c r="BF2" s="235"/>
      <c r="BG2" s="235"/>
      <c r="BH2" s="235"/>
      <c r="BI2" s="235"/>
      <c r="BJ2" s="235"/>
      <c r="BK2" s="235"/>
      <c r="BL2" s="235"/>
      <c r="BM2" s="235"/>
      <c r="BN2" s="236"/>
      <c r="BO2" s="1"/>
    </row>
    <row r="3" spans="1:256" ht="18.75" customHeight="1" thickBot="1" x14ac:dyDescent="0.25">
      <c r="A3" s="231"/>
      <c r="B3" s="229"/>
      <c r="C3" s="229"/>
      <c r="D3" s="229"/>
      <c r="E3" s="229"/>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c r="AS3" s="229"/>
      <c r="AT3" s="229"/>
      <c r="AU3" s="229"/>
      <c r="AV3" s="229"/>
      <c r="AW3" s="229"/>
      <c r="AX3" s="242"/>
      <c r="AY3" s="243"/>
      <c r="AZ3" s="243"/>
      <c r="BA3" s="244"/>
      <c r="BB3" s="229"/>
      <c r="BC3" s="229"/>
      <c r="BD3" s="229"/>
      <c r="BE3" s="229"/>
      <c r="BF3" s="229"/>
      <c r="BG3" s="229"/>
      <c r="BH3" s="229"/>
      <c r="BI3" s="229"/>
      <c r="BJ3" s="229"/>
      <c r="BK3" s="229"/>
      <c r="BL3" s="229"/>
      <c r="BM3" s="229"/>
      <c r="BN3" s="237"/>
      <c r="BO3" s="1"/>
    </row>
    <row r="4" spans="1:256" s="8" customFormat="1" ht="25.5" customHeight="1" x14ac:dyDescent="0.2">
      <c r="A4" s="226" t="str">
        <f>IF(Eingabe!A108="","",Eingabe!A108)</f>
        <v/>
      </c>
      <c r="B4" s="227"/>
      <c r="C4" s="227"/>
      <c r="D4" s="227"/>
      <c r="E4" s="227" t="str">
        <f>IF(Eingabe!B108="","",Eingabe!B108)</f>
        <v/>
      </c>
      <c r="F4" s="227"/>
      <c r="G4" s="227"/>
      <c r="H4" s="227"/>
      <c r="I4" s="223" t="str">
        <f>IF(Eingabe!C108="","",Eingabe!C108)</f>
        <v/>
      </c>
      <c r="J4" s="223"/>
      <c r="K4" s="223"/>
      <c r="L4" s="223"/>
      <c r="M4" s="245" t="str">
        <f>IF(Eingabe!D108&amp;""&amp;Eingabe!E108="","",Eingabe!D108&amp;" 
"&amp;Eingabe!E108)</f>
        <v/>
      </c>
      <c r="N4" s="245"/>
      <c r="O4" s="245"/>
      <c r="P4" s="245"/>
      <c r="Q4" s="245"/>
      <c r="R4" s="245"/>
      <c r="S4" s="245"/>
      <c r="T4" s="245"/>
      <c r="U4" s="245"/>
      <c r="V4" s="245"/>
      <c r="W4" s="245"/>
      <c r="X4" s="245"/>
      <c r="Y4" s="245"/>
      <c r="Z4" s="245"/>
      <c r="AA4" s="245"/>
      <c r="AB4" s="245"/>
      <c r="AC4" s="245"/>
      <c r="AD4" s="245"/>
      <c r="AE4" s="245"/>
      <c r="AF4" s="245"/>
      <c r="AG4" s="223" t="str">
        <f>IF(Eingabe!F108&amp;""&amp;Eingabe!G108="","",Eingabe!F108&amp;" 
"&amp;Eingabe!G108)</f>
        <v/>
      </c>
      <c r="AH4" s="223"/>
      <c r="AI4" s="223"/>
      <c r="AJ4" s="223"/>
      <c r="AK4" s="223"/>
      <c r="AL4" s="223"/>
      <c r="AM4" s="223"/>
      <c r="AN4" s="223"/>
      <c r="AO4" s="223"/>
      <c r="AP4" s="223"/>
      <c r="AQ4" s="223"/>
      <c r="AR4" s="223"/>
      <c r="AS4" s="223"/>
      <c r="AT4" s="223"/>
      <c r="AU4" s="223"/>
      <c r="AV4" s="223"/>
      <c r="AW4" s="223"/>
      <c r="AX4" s="223" t="str">
        <f>IF(Eingabe!H108="","",Eingabe!H108)</f>
        <v/>
      </c>
      <c r="AY4" s="223"/>
      <c r="AZ4" s="223"/>
      <c r="BA4" s="223"/>
      <c r="BB4" s="223" t="str">
        <f>IF(Eingabe!K108="","",Eingabe!K108)</f>
        <v/>
      </c>
      <c r="BC4" s="223"/>
      <c r="BD4" s="223"/>
      <c r="BE4" s="223"/>
      <c r="BF4" s="223"/>
      <c r="BG4" s="223"/>
      <c r="BH4" s="223"/>
      <c r="BI4" s="223"/>
      <c r="BJ4" s="223"/>
      <c r="BK4" s="223"/>
      <c r="BL4" s="223"/>
      <c r="BM4" s="223"/>
      <c r="BN4" s="238"/>
      <c r="BO4" s="6"/>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row>
    <row r="5" spans="1:256" s="8" customFormat="1" ht="25.5" customHeight="1" x14ac:dyDescent="0.2">
      <c r="A5" s="222" t="str">
        <f>IF(Eingabe!A109="","",Eingabe!A109)</f>
        <v/>
      </c>
      <c r="B5" s="145"/>
      <c r="C5" s="145"/>
      <c r="D5" s="145"/>
      <c r="E5" s="145" t="str">
        <f>IF(Eingabe!B109="","",Eingabe!B109)</f>
        <v/>
      </c>
      <c r="F5" s="145"/>
      <c r="G5" s="145"/>
      <c r="H5" s="145"/>
      <c r="I5" s="137" t="str">
        <f>IF(Eingabe!C109="","",Eingabe!C109)</f>
        <v/>
      </c>
      <c r="J5" s="137"/>
      <c r="K5" s="137"/>
      <c r="L5" s="137"/>
      <c r="M5" s="232" t="str">
        <f>IF(Eingabe!D109&amp;""&amp;Eingabe!E109="","",Eingabe!D109&amp;" 
"&amp;Eingabe!E109)</f>
        <v/>
      </c>
      <c r="N5" s="232"/>
      <c r="O5" s="232"/>
      <c r="P5" s="232"/>
      <c r="Q5" s="232"/>
      <c r="R5" s="232"/>
      <c r="S5" s="232"/>
      <c r="T5" s="232"/>
      <c r="U5" s="232"/>
      <c r="V5" s="232"/>
      <c r="W5" s="232"/>
      <c r="X5" s="232"/>
      <c r="Y5" s="232"/>
      <c r="Z5" s="232"/>
      <c r="AA5" s="232"/>
      <c r="AB5" s="232"/>
      <c r="AC5" s="232"/>
      <c r="AD5" s="232"/>
      <c r="AE5" s="232"/>
      <c r="AF5" s="232"/>
      <c r="AG5" s="137" t="str">
        <f>IF(Eingabe!F109&amp;""&amp;Eingabe!G109="","",Eingabe!F109&amp;" 
"&amp;Eingabe!G109)</f>
        <v/>
      </c>
      <c r="AH5" s="137"/>
      <c r="AI5" s="137"/>
      <c r="AJ5" s="137"/>
      <c r="AK5" s="137"/>
      <c r="AL5" s="137"/>
      <c r="AM5" s="137"/>
      <c r="AN5" s="137"/>
      <c r="AO5" s="137"/>
      <c r="AP5" s="137"/>
      <c r="AQ5" s="137"/>
      <c r="AR5" s="137"/>
      <c r="AS5" s="137"/>
      <c r="AT5" s="137"/>
      <c r="AU5" s="137"/>
      <c r="AV5" s="137"/>
      <c r="AW5" s="137"/>
      <c r="AX5" s="137" t="str">
        <f>IF(Eingabe!H109="","",Eingabe!H109)</f>
        <v/>
      </c>
      <c r="AY5" s="137"/>
      <c r="AZ5" s="137"/>
      <c r="BA5" s="137"/>
      <c r="BB5" s="137" t="str">
        <f>IF(Eingabe!K109="","",Eingabe!K109)</f>
        <v/>
      </c>
      <c r="BC5" s="137"/>
      <c r="BD5" s="137"/>
      <c r="BE5" s="137"/>
      <c r="BF5" s="137"/>
      <c r="BG5" s="137"/>
      <c r="BH5" s="137"/>
      <c r="BI5" s="137"/>
      <c r="BJ5" s="137"/>
      <c r="BK5" s="137"/>
      <c r="BL5" s="137"/>
      <c r="BM5" s="137"/>
      <c r="BN5" s="138"/>
      <c r="BO5" s="6"/>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7"/>
      <c r="CS5" s="7"/>
      <c r="CT5" s="7"/>
      <c r="CU5" s="7"/>
      <c r="CV5" s="7"/>
      <c r="CW5" s="7"/>
      <c r="CX5" s="7"/>
      <c r="CY5" s="7"/>
      <c r="CZ5" s="7"/>
      <c r="DA5" s="7"/>
      <c r="DB5" s="7"/>
      <c r="DC5" s="7"/>
      <c r="DD5" s="7"/>
      <c r="DE5" s="7"/>
      <c r="DF5" s="7"/>
      <c r="DG5" s="7"/>
      <c r="DH5" s="7"/>
      <c r="DI5" s="7"/>
      <c r="DJ5" s="7"/>
      <c r="DK5" s="7"/>
      <c r="DL5" s="7"/>
      <c r="DM5" s="7"/>
      <c r="DN5" s="7"/>
      <c r="DO5" s="7"/>
      <c r="DP5" s="7"/>
      <c r="DQ5" s="7"/>
      <c r="DR5" s="7"/>
      <c r="DS5" s="7"/>
      <c r="DT5" s="7"/>
      <c r="DU5" s="7"/>
      <c r="DV5" s="7"/>
      <c r="DW5" s="7"/>
      <c r="DX5" s="7"/>
      <c r="DY5" s="7"/>
      <c r="DZ5" s="7"/>
      <c r="EA5" s="7"/>
      <c r="EB5" s="7"/>
      <c r="EC5" s="7"/>
      <c r="ED5" s="7"/>
      <c r="EE5" s="7"/>
      <c r="EF5" s="7"/>
      <c r="EG5" s="7"/>
      <c r="EH5" s="7"/>
      <c r="EI5" s="7"/>
      <c r="EJ5" s="7"/>
      <c r="EK5" s="7"/>
      <c r="EL5" s="7"/>
      <c r="EM5" s="7"/>
      <c r="EN5" s="7"/>
      <c r="EO5" s="7"/>
      <c r="EP5" s="7"/>
      <c r="EQ5" s="7"/>
      <c r="ER5" s="7"/>
      <c r="ES5" s="7"/>
      <c r="ET5" s="7"/>
      <c r="EU5" s="7"/>
      <c r="EV5" s="7"/>
      <c r="EW5" s="7"/>
      <c r="EX5" s="7"/>
      <c r="EY5" s="7"/>
      <c r="EZ5" s="7"/>
      <c r="FA5" s="7"/>
      <c r="FB5" s="7"/>
      <c r="FC5" s="7"/>
      <c r="FD5" s="7"/>
      <c r="FE5" s="7"/>
      <c r="FF5" s="7"/>
      <c r="FG5" s="7"/>
      <c r="FH5" s="7"/>
      <c r="FI5" s="7"/>
      <c r="FJ5" s="7"/>
      <c r="FK5" s="7"/>
      <c r="FL5" s="7"/>
      <c r="FM5" s="7"/>
      <c r="FN5" s="7"/>
      <c r="FO5" s="7"/>
      <c r="FP5" s="7"/>
      <c r="FQ5" s="7"/>
      <c r="FR5" s="7"/>
      <c r="FS5" s="7"/>
      <c r="FT5" s="7"/>
      <c r="FU5" s="7"/>
      <c r="FV5" s="7"/>
      <c r="FW5" s="7"/>
      <c r="FX5" s="7"/>
      <c r="FY5" s="7"/>
      <c r="FZ5" s="7"/>
      <c r="GA5" s="7"/>
      <c r="GB5" s="7"/>
      <c r="GC5" s="7"/>
      <c r="GD5" s="7"/>
      <c r="GE5" s="7"/>
      <c r="GF5" s="7"/>
      <c r="GG5" s="7"/>
      <c r="GH5" s="7"/>
      <c r="GI5" s="7"/>
      <c r="GJ5" s="7"/>
      <c r="GK5" s="7"/>
      <c r="GL5" s="7"/>
      <c r="GM5" s="7"/>
      <c r="GN5" s="7"/>
      <c r="GO5" s="7"/>
      <c r="GP5" s="7"/>
      <c r="GQ5" s="7"/>
      <c r="GR5" s="7"/>
      <c r="GS5" s="7"/>
      <c r="GT5" s="7"/>
      <c r="GU5" s="7"/>
      <c r="GV5" s="7"/>
      <c r="GW5" s="7"/>
      <c r="GX5" s="7"/>
      <c r="GY5" s="7"/>
      <c r="GZ5" s="7"/>
      <c r="HA5" s="7"/>
      <c r="HB5" s="7"/>
      <c r="HC5" s="7"/>
      <c r="HD5" s="7"/>
      <c r="HE5" s="7"/>
      <c r="HF5" s="7"/>
      <c r="HG5" s="7"/>
      <c r="HH5" s="7"/>
      <c r="HI5" s="7"/>
      <c r="HJ5" s="7"/>
      <c r="HK5" s="7"/>
      <c r="HL5" s="7"/>
      <c r="HM5" s="7"/>
      <c r="HN5" s="7"/>
      <c r="HO5" s="7"/>
      <c r="HP5" s="7"/>
      <c r="HQ5" s="7"/>
      <c r="HR5" s="7"/>
      <c r="HS5" s="7"/>
      <c r="HT5" s="7"/>
      <c r="HU5" s="7"/>
      <c r="HV5" s="7"/>
      <c r="HW5" s="7"/>
      <c r="HX5" s="7"/>
      <c r="HY5" s="7"/>
      <c r="HZ5" s="7"/>
      <c r="IA5" s="7"/>
      <c r="IB5" s="7"/>
      <c r="IC5" s="7"/>
      <c r="ID5" s="7"/>
      <c r="IE5" s="7"/>
      <c r="IF5" s="7"/>
      <c r="IG5" s="7"/>
      <c r="IH5" s="7"/>
      <c r="II5" s="7"/>
      <c r="IJ5" s="7"/>
      <c r="IK5" s="7"/>
      <c r="IL5" s="7"/>
      <c r="IM5" s="7"/>
      <c r="IN5" s="7"/>
      <c r="IO5" s="7"/>
      <c r="IP5" s="7"/>
      <c r="IQ5" s="7"/>
      <c r="IR5" s="7"/>
      <c r="IS5" s="7"/>
      <c r="IT5" s="7"/>
      <c r="IU5" s="7"/>
      <c r="IV5" s="7"/>
    </row>
    <row r="6" spans="1:256" s="8" customFormat="1" ht="25.5" customHeight="1" x14ac:dyDescent="0.2">
      <c r="A6" s="222" t="str">
        <f>IF(Eingabe!A110="","",Eingabe!A110)</f>
        <v/>
      </c>
      <c r="B6" s="145"/>
      <c r="C6" s="145"/>
      <c r="D6" s="145"/>
      <c r="E6" s="145" t="str">
        <f>IF(Eingabe!B110="","",Eingabe!B110)</f>
        <v/>
      </c>
      <c r="F6" s="145"/>
      <c r="G6" s="145"/>
      <c r="H6" s="145"/>
      <c r="I6" s="137" t="str">
        <f>IF(Eingabe!C110="","",Eingabe!C110)</f>
        <v/>
      </c>
      <c r="J6" s="137"/>
      <c r="K6" s="137"/>
      <c r="L6" s="137"/>
      <c r="M6" s="232" t="str">
        <f>IF(Eingabe!D110&amp;""&amp;Eingabe!E110="","",Eingabe!D110&amp;" 
"&amp;Eingabe!E110)</f>
        <v/>
      </c>
      <c r="N6" s="232"/>
      <c r="O6" s="232"/>
      <c r="P6" s="232"/>
      <c r="Q6" s="232"/>
      <c r="R6" s="232"/>
      <c r="S6" s="232"/>
      <c r="T6" s="232"/>
      <c r="U6" s="232"/>
      <c r="V6" s="232"/>
      <c r="W6" s="232"/>
      <c r="X6" s="232"/>
      <c r="Y6" s="232"/>
      <c r="Z6" s="232"/>
      <c r="AA6" s="232"/>
      <c r="AB6" s="232"/>
      <c r="AC6" s="232"/>
      <c r="AD6" s="232"/>
      <c r="AE6" s="232"/>
      <c r="AF6" s="232"/>
      <c r="AG6" s="137" t="str">
        <f>IF(Eingabe!F110&amp;""&amp;Eingabe!G110="","",Eingabe!F110&amp;" 
"&amp;Eingabe!G110)</f>
        <v/>
      </c>
      <c r="AH6" s="137"/>
      <c r="AI6" s="137"/>
      <c r="AJ6" s="137"/>
      <c r="AK6" s="137"/>
      <c r="AL6" s="137"/>
      <c r="AM6" s="137"/>
      <c r="AN6" s="137"/>
      <c r="AO6" s="137"/>
      <c r="AP6" s="137"/>
      <c r="AQ6" s="137"/>
      <c r="AR6" s="137"/>
      <c r="AS6" s="137"/>
      <c r="AT6" s="137"/>
      <c r="AU6" s="137"/>
      <c r="AV6" s="137"/>
      <c r="AW6" s="137"/>
      <c r="AX6" s="137" t="str">
        <f>IF(Eingabe!H110="","",Eingabe!H110)</f>
        <v/>
      </c>
      <c r="AY6" s="137"/>
      <c r="AZ6" s="137"/>
      <c r="BA6" s="137"/>
      <c r="BB6" s="137" t="str">
        <f>IF(Eingabe!K110="","",Eingabe!K110)</f>
        <v/>
      </c>
      <c r="BC6" s="137"/>
      <c r="BD6" s="137"/>
      <c r="BE6" s="137"/>
      <c r="BF6" s="137"/>
      <c r="BG6" s="137"/>
      <c r="BH6" s="137"/>
      <c r="BI6" s="137"/>
      <c r="BJ6" s="137"/>
      <c r="BK6" s="137"/>
      <c r="BL6" s="137"/>
      <c r="BM6" s="137"/>
      <c r="BN6" s="138"/>
      <c r="BO6" s="6"/>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c r="EI6" s="7"/>
      <c r="EJ6" s="7"/>
      <c r="EK6" s="7"/>
      <c r="EL6" s="7"/>
      <c r="EM6" s="7"/>
      <c r="EN6" s="7"/>
      <c r="EO6" s="7"/>
      <c r="EP6" s="7"/>
      <c r="EQ6" s="7"/>
      <c r="ER6" s="7"/>
      <c r="ES6" s="7"/>
      <c r="ET6" s="7"/>
      <c r="EU6" s="7"/>
      <c r="EV6" s="7"/>
      <c r="EW6" s="7"/>
      <c r="EX6" s="7"/>
      <c r="EY6" s="7"/>
      <c r="EZ6" s="7"/>
      <c r="FA6" s="7"/>
      <c r="FB6" s="7"/>
      <c r="FC6" s="7"/>
      <c r="FD6" s="7"/>
      <c r="FE6" s="7"/>
      <c r="FF6" s="7"/>
      <c r="FG6" s="7"/>
      <c r="FH6" s="7"/>
      <c r="FI6" s="7"/>
      <c r="FJ6" s="7"/>
      <c r="FK6" s="7"/>
      <c r="FL6" s="7"/>
      <c r="FM6" s="7"/>
      <c r="FN6" s="7"/>
      <c r="FO6" s="7"/>
      <c r="FP6" s="7"/>
      <c r="FQ6" s="7"/>
      <c r="FR6" s="7"/>
      <c r="FS6" s="7"/>
      <c r="FT6" s="7"/>
      <c r="FU6" s="7"/>
      <c r="FV6" s="7"/>
      <c r="FW6" s="7"/>
      <c r="FX6" s="7"/>
      <c r="FY6" s="7"/>
      <c r="FZ6" s="7"/>
      <c r="GA6" s="7"/>
      <c r="GB6" s="7"/>
      <c r="GC6" s="7"/>
      <c r="GD6" s="7"/>
      <c r="GE6" s="7"/>
      <c r="GF6" s="7"/>
      <c r="GG6" s="7"/>
      <c r="GH6" s="7"/>
      <c r="GI6" s="7"/>
      <c r="GJ6" s="7"/>
      <c r="GK6" s="7"/>
      <c r="GL6" s="7"/>
      <c r="GM6" s="7"/>
      <c r="GN6" s="7"/>
      <c r="GO6" s="7"/>
      <c r="GP6" s="7"/>
      <c r="GQ6" s="7"/>
      <c r="GR6" s="7"/>
      <c r="GS6" s="7"/>
      <c r="GT6" s="7"/>
      <c r="GU6" s="7"/>
      <c r="GV6" s="7"/>
      <c r="GW6" s="7"/>
      <c r="GX6" s="7"/>
      <c r="GY6" s="7"/>
      <c r="GZ6" s="7"/>
      <c r="HA6" s="7"/>
      <c r="HB6" s="7"/>
      <c r="HC6" s="7"/>
      <c r="HD6" s="7"/>
      <c r="HE6" s="7"/>
      <c r="HF6" s="7"/>
      <c r="HG6" s="7"/>
      <c r="HH6" s="7"/>
      <c r="HI6" s="7"/>
      <c r="HJ6" s="7"/>
      <c r="HK6" s="7"/>
      <c r="HL6" s="7"/>
      <c r="HM6" s="7"/>
      <c r="HN6" s="7"/>
      <c r="HO6" s="7"/>
      <c r="HP6" s="7"/>
      <c r="HQ6" s="7"/>
      <c r="HR6" s="7"/>
      <c r="HS6" s="7"/>
      <c r="HT6" s="7"/>
      <c r="HU6" s="7"/>
      <c r="HV6" s="7"/>
      <c r="HW6" s="7"/>
      <c r="HX6" s="7"/>
      <c r="HY6" s="7"/>
      <c r="HZ6" s="7"/>
      <c r="IA6" s="7"/>
      <c r="IB6" s="7"/>
      <c r="IC6" s="7"/>
      <c r="ID6" s="7"/>
      <c r="IE6" s="7"/>
      <c r="IF6" s="7"/>
      <c r="IG6" s="7"/>
      <c r="IH6" s="7"/>
      <c r="II6" s="7"/>
      <c r="IJ6" s="7"/>
      <c r="IK6" s="7"/>
      <c r="IL6" s="7"/>
      <c r="IM6" s="7"/>
      <c r="IN6" s="7"/>
      <c r="IO6" s="7"/>
      <c r="IP6" s="7"/>
      <c r="IQ6" s="7"/>
      <c r="IR6" s="7"/>
      <c r="IS6" s="7"/>
      <c r="IT6" s="7"/>
      <c r="IU6" s="7"/>
      <c r="IV6" s="7"/>
    </row>
    <row r="7" spans="1:256" s="8" customFormat="1" ht="25.5" customHeight="1" x14ac:dyDescent="0.2">
      <c r="A7" s="222" t="str">
        <f>IF(Eingabe!A111="","",Eingabe!A111)</f>
        <v/>
      </c>
      <c r="B7" s="145"/>
      <c r="C7" s="145"/>
      <c r="D7" s="145"/>
      <c r="E7" s="145" t="str">
        <f>IF(Eingabe!B111="","",Eingabe!B111)</f>
        <v/>
      </c>
      <c r="F7" s="145"/>
      <c r="G7" s="145"/>
      <c r="H7" s="145"/>
      <c r="I7" s="137" t="str">
        <f>IF(Eingabe!C111="","",Eingabe!C111)</f>
        <v/>
      </c>
      <c r="J7" s="137"/>
      <c r="K7" s="137"/>
      <c r="L7" s="137"/>
      <c r="M7" s="232" t="str">
        <f>IF(Eingabe!D111&amp;""&amp;Eingabe!E111="","",Eingabe!D111&amp;" 
"&amp;Eingabe!E111)</f>
        <v/>
      </c>
      <c r="N7" s="232"/>
      <c r="O7" s="232"/>
      <c r="P7" s="232"/>
      <c r="Q7" s="232"/>
      <c r="R7" s="232"/>
      <c r="S7" s="232"/>
      <c r="T7" s="232"/>
      <c r="U7" s="232"/>
      <c r="V7" s="232"/>
      <c r="W7" s="232"/>
      <c r="X7" s="232"/>
      <c r="Y7" s="232"/>
      <c r="Z7" s="232"/>
      <c r="AA7" s="232"/>
      <c r="AB7" s="232"/>
      <c r="AC7" s="232"/>
      <c r="AD7" s="232"/>
      <c r="AE7" s="232"/>
      <c r="AF7" s="232"/>
      <c r="AG7" s="137" t="str">
        <f>IF(Eingabe!F111&amp;""&amp;Eingabe!G111="","",Eingabe!F111&amp;" 
"&amp;Eingabe!G111)</f>
        <v/>
      </c>
      <c r="AH7" s="137"/>
      <c r="AI7" s="137"/>
      <c r="AJ7" s="137"/>
      <c r="AK7" s="137"/>
      <c r="AL7" s="137"/>
      <c r="AM7" s="137"/>
      <c r="AN7" s="137"/>
      <c r="AO7" s="137"/>
      <c r="AP7" s="137"/>
      <c r="AQ7" s="137"/>
      <c r="AR7" s="137"/>
      <c r="AS7" s="137"/>
      <c r="AT7" s="137"/>
      <c r="AU7" s="137"/>
      <c r="AV7" s="137"/>
      <c r="AW7" s="137"/>
      <c r="AX7" s="137" t="str">
        <f>IF(Eingabe!H111="","",Eingabe!H111)</f>
        <v/>
      </c>
      <c r="AY7" s="137"/>
      <c r="AZ7" s="137"/>
      <c r="BA7" s="137"/>
      <c r="BB7" s="137" t="str">
        <f>IF(Eingabe!K111="","",Eingabe!K111)</f>
        <v/>
      </c>
      <c r="BC7" s="137"/>
      <c r="BD7" s="137"/>
      <c r="BE7" s="137"/>
      <c r="BF7" s="137"/>
      <c r="BG7" s="137"/>
      <c r="BH7" s="137"/>
      <c r="BI7" s="137"/>
      <c r="BJ7" s="137"/>
      <c r="BK7" s="137"/>
      <c r="BL7" s="137"/>
      <c r="BM7" s="137"/>
      <c r="BN7" s="138"/>
      <c r="BO7" s="6"/>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c r="EI7" s="7"/>
      <c r="EJ7" s="7"/>
      <c r="EK7" s="7"/>
      <c r="EL7" s="7"/>
      <c r="EM7" s="7"/>
      <c r="EN7" s="7"/>
      <c r="EO7" s="7"/>
      <c r="EP7" s="7"/>
      <c r="EQ7" s="7"/>
      <c r="ER7" s="7"/>
      <c r="ES7" s="7"/>
      <c r="ET7" s="7"/>
      <c r="EU7" s="7"/>
      <c r="EV7" s="7"/>
      <c r="EW7" s="7"/>
      <c r="EX7" s="7"/>
      <c r="EY7" s="7"/>
      <c r="EZ7" s="7"/>
      <c r="FA7" s="7"/>
      <c r="FB7" s="7"/>
      <c r="FC7" s="7"/>
      <c r="FD7" s="7"/>
      <c r="FE7" s="7"/>
      <c r="FF7" s="7"/>
      <c r="FG7" s="7"/>
      <c r="FH7" s="7"/>
      <c r="FI7" s="7"/>
      <c r="FJ7" s="7"/>
      <c r="FK7" s="7"/>
      <c r="FL7" s="7"/>
      <c r="FM7" s="7"/>
      <c r="FN7" s="7"/>
      <c r="FO7" s="7"/>
      <c r="FP7" s="7"/>
      <c r="FQ7" s="7"/>
      <c r="FR7" s="7"/>
      <c r="FS7" s="7"/>
      <c r="FT7" s="7"/>
      <c r="FU7" s="7"/>
      <c r="FV7" s="7"/>
      <c r="FW7" s="7"/>
      <c r="FX7" s="7"/>
      <c r="FY7" s="7"/>
      <c r="FZ7" s="7"/>
      <c r="GA7" s="7"/>
      <c r="GB7" s="7"/>
      <c r="GC7" s="7"/>
      <c r="GD7" s="7"/>
      <c r="GE7" s="7"/>
      <c r="GF7" s="7"/>
      <c r="GG7" s="7"/>
      <c r="GH7" s="7"/>
      <c r="GI7" s="7"/>
      <c r="GJ7" s="7"/>
      <c r="GK7" s="7"/>
      <c r="GL7" s="7"/>
      <c r="GM7" s="7"/>
      <c r="GN7" s="7"/>
      <c r="GO7" s="7"/>
      <c r="GP7" s="7"/>
      <c r="GQ7" s="7"/>
      <c r="GR7" s="7"/>
      <c r="GS7" s="7"/>
      <c r="GT7" s="7"/>
      <c r="GU7" s="7"/>
      <c r="GV7" s="7"/>
      <c r="GW7" s="7"/>
      <c r="GX7" s="7"/>
      <c r="GY7" s="7"/>
      <c r="GZ7" s="7"/>
      <c r="HA7" s="7"/>
      <c r="HB7" s="7"/>
      <c r="HC7" s="7"/>
      <c r="HD7" s="7"/>
      <c r="HE7" s="7"/>
      <c r="HF7" s="7"/>
      <c r="HG7" s="7"/>
      <c r="HH7" s="7"/>
      <c r="HI7" s="7"/>
      <c r="HJ7" s="7"/>
      <c r="HK7" s="7"/>
      <c r="HL7" s="7"/>
      <c r="HM7" s="7"/>
      <c r="HN7" s="7"/>
      <c r="HO7" s="7"/>
      <c r="HP7" s="7"/>
      <c r="HQ7" s="7"/>
      <c r="HR7" s="7"/>
      <c r="HS7" s="7"/>
      <c r="HT7" s="7"/>
      <c r="HU7" s="7"/>
      <c r="HV7" s="7"/>
      <c r="HW7" s="7"/>
      <c r="HX7" s="7"/>
      <c r="HY7" s="7"/>
      <c r="HZ7" s="7"/>
      <c r="IA7" s="7"/>
      <c r="IB7" s="7"/>
      <c r="IC7" s="7"/>
      <c r="ID7" s="7"/>
      <c r="IE7" s="7"/>
      <c r="IF7" s="7"/>
      <c r="IG7" s="7"/>
      <c r="IH7" s="7"/>
      <c r="II7" s="7"/>
      <c r="IJ7" s="7"/>
      <c r="IK7" s="7"/>
      <c r="IL7" s="7"/>
      <c r="IM7" s="7"/>
      <c r="IN7" s="7"/>
      <c r="IO7" s="7"/>
      <c r="IP7" s="7"/>
      <c r="IQ7" s="7"/>
      <c r="IR7" s="7"/>
      <c r="IS7" s="7"/>
      <c r="IT7" s="7"/>
      <c r="IU7" s="7"/>
      <c r="IV7" s="7"/>
    </row>
    <row r="8" spans="1:256" s="8" customFormat="1" ht="25.5" customHeight="1" x14ac:dyDescent="0.2">
      <c r="A8" s="222" t="str">
        <f>IF(Eingabe!A112="","",Eingabe!A112)</f>
        <v/>
      </c>
      <c r="B8" s="145"/>
      <c r="C8" s="145"/>
      <c r="D8" s="145"/>
      <c r="E8" s="145" t="str">
        <f>IF(Eingabe!B112="","",Eingabe!B112)</f>
        <v/>
      </c>
      <c r="F8" s="145"/>
      <c r="G8" s="145"/>
      <c r="H8" s="145"/>
      <c r="I8" s="137" t="str">
        <f>IF(Eingabe!C112="","",Eingabe!C112)</f>
        <v/>
      </c>
      <c r="J8" s="137"/>
      <c r="K8" s="137"/>
      <c r="L8" s="137"/>
      <c r="M8" s="232" t="str">
        <f>IF(Eingabe!D112&amp;""&amp;Eingabe!E112="","",Eingabe!D112&amp;" 
"&amp;Eingabe!E112)</f>
        <v/>
      </c>
      <c r="N8" s="232"/>
      <c r="O8" s="232"/>
      <c r="P8" s="232"/>
      <c r="Q8" s="232"/>
      <c r="R8" s="232"/>
      <c r="S8" s="232"/>
      <c r="T8" s="232"/>
      <c r="U8" s="232"/>
      <c r="V8" s="232"/>
      <c r="W8" s="232"/>
      <c r="X8" s="232"/>
      <c r="Y8" s="232"/>
      <c r="Z8" s="232"/>
      <c r="AA8" s="232"/>
      <c r="AB8" s="232"/>
      <c r="AC8" s="232"/>
      <c r="AD8" s="232"/>
      <c r="AE8" s="232"/>
      <c r="AF8" s="232"/>
      <c r="AG8" s="137" t="str">
        <f>IF(Eingabe!F112&amp;""&amp;Eingabe!G112="","",Eingabe!F112&amp;" 
"&amp;Eingabe!G112)</f>
        <v/>
      </c>
      <c r="AH8" s="137"/>
      <c r="AI8" s="137"/>
      <c r="AJ8" s="137"/>
      <c r="AK8" s="137"/>
      <c r="AL8" s="137"/>
      <c r="AM8" s="137"/>
      <c r="AN8" s="137"/>
      <c r="AO8" s="137"/>
      <c r="AP8" s="137"/>
      <c r="AQ8" s="137"/>
      <c r="AR8" s="137"/>
      <c r="AS8" s="137"/>
      <c r="AT8" s="137"/>
      <c r="AU8" s="137"/>
      <c r="AV8" s="137"/>
      <c r="AW8" s="137"/>
      <c r="AX8" s="137" t="str">
        <f>IF(Eingabe!H112="","",Eingabe!H112)</f>
        <v/>
      </c>
      <c r="AY8" s="137"/>
      <c r="AZ8" s="137"/>
      <c r="BA8" s="137"/>
      <c r="BB8" s="137" t="str">
        <f>IF(Eingabe!K112="","",Eingabe!K112)</f>
        <v/>
      </c>
      <c r="BC8" s="137"/>
      <c r="BD8" s="137"/>
      <c r="BE8" s="137"/>
      <c r="BF8" s="137"/>
      <c r="BG8" s="137"/>
      <c r="BH8" s="137"/>
      <c r="BI8" s="137"/>
      <c r="BJ8" s="137"/>
      <c r="BK8" s="137"/>
      <c r="BL8" s="137"/>
      <c r="BM8" s="137"/>
      <c r="BN8" s="138"/>
      <c r="BO8" s="6"/>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7"/>
      <c r="EJ8" s="7"/>
      <c r="EK8" s="7"/>
      <c r="EL8" s="7"/>
      <c r="EM8" s="7"/>
      <c r="EN8" s="7"/>
      <c r="EO8" s="7"/>
      <c r="EP8" s="7"/>
      <c r="EQ8" s="7"/>
      <c r="ER8" s="7"/>
      <c r="ES8" s="7"/>
      <c r="ET8" s="7"/>
      <c r="EU8" s="7"/>
      <c r="EV8" s="7"/>
      <c r="EW8" s="7"/>
      <c r="EX8" s="7"/>
      <c r="EY8" s="7"/>
      <c r="EZ8" s="7"/>
      <c r="FA8" s="7"/>
      <c r="FB8" s="7"/>
      <c r="FC8" s="7"/>
      <c r="FD8" s="7"/>
      <c r="FE8" s="7"/>
      <c r="FF8" s="7"/>
      <c r="FG8" s="7"/>
      <c r="FH8" s="7"/>
      <c r="FI8" s="7"/>
      <c r="FJ8" s="7"/>
      <c r="FK8" s="7"/>
      <c r="FL8" s="7"/>
      <c r="FM8" s="7"/>
      <c r="FN8" s="7"/>
      <c r="FO8" s="7"/>
      <c r="FP8" s="7"/>
      <c r="FQ8" s="7"/>
      <c r="FR8" s="7"/>
      <c r="FS8" s="7"/>
      <c r="FT8" s="7"/>
      <c r="FU8" s="7"/>
      <c r="FV8" s="7"/>
      <c r="FW8" s="7"/>
      <c r="FX8" s="7"/>
      <c r="FY8" s="7"/>
      <c r="FZ8" s="7"/>
      <c r="GA8" s="7"/>
      <c r="GB8" s="7"/>
      <c r="GC8" s="7"/>
      <c r="GD8" s="7"/>
      <c r="GE8" s="7"/>
      <c r="GF8" s="7"/>
      <c r="GG8" s="7"/>
      <c r="GH8" s="7"/>
      <c r="GI8" s="7"/>
      <c r="GJ8" s="7"/>
      <c r="GK8" s="7"/>
      <c r="GL8" s="7"/>
      <c r="GM8" s="7"/>
      <c r="GN8" s="7"/>
      <c r="GO8" s="7"/>
      <c r="GP8" s="7"/>
      <c r="GQ8" s="7"/>
      <c r="GR8" s="7"/>
      <c r="GS8" s="7"/>
      <c r="GT8" s="7"/>
      <c r="GU8" s="7"/>
      <c r="GV8" s="7"/>
      <c r="GW8" s="7"/>
      <c r="GX8" s="7"/>
      <c r="GY8" s="7"/>
      <c r="GZ8" s="7"/>
      <c r="HA8" s="7"/>
      <c r="HB8" s="7"/>
      <c r="HC8" s="7"/>
      <c r="HD8" s="7"/>
      <c r="HE8" s="7"/>
      <c r="HF8" s="7"/>
      <c r="HG8" s="7"/>
      <c r="HH8" s="7"/>
      <c r="HI8" s="7"/>
      <c r="HJ8" s="7"/>
      <c r="HK8" s="7"/>
      <c r="HL8" s="7"/>
      <c r="HM8" s="7"/>
      <c r="HN8" s="7"/>
      <c r="HO8" s="7"/>
      <c r="HP8" s="7"/>
      <c r="HQ8" s="7"/>
      <c r="HR8" s="7"/>
      <c r="HS8" s="7"/>
      <c r="HT8" s="7"/>
      <c r="HU8" s="7"/>
      <c r="HV8" s="7"/>
      <c r="HW8" s="7"/>
      <c r="HX8" s="7"/>
      <c r="HY8" s="7"/>
      <c r="HZ8" s="7"/>
      <c r="IA8" s="7"/>
      <c r="IB8" s="7"/>
      <c r="IC8" s="7"/>
      <c r="ID8" s="7"/>
      <c r="IE8" s="7"/>
      <c r="IF8" s="7"/>
      <c r="IG8" s="7"/>
      <c r="IH8" s="7"/>
      <c r="II8" s="7"/>
      <c r="IJ8" s="7"/>
      <c r="IK8" s="7"/>
      <c r="IL8" s="7"/>
      <c r="IM8" s="7"/>
      <c r="IN8" s="7"/>
      <c r="IO8" s="7"/>
      <c r="IP8" s="7"/>
      <c r="IQ8" s="7"/>
      <c r="IR8" s="7"/>
      <c r="IS8" s="7"/>
      <c r="IT8" s="7"/>
      <c r="IU8" s="7"/>
      <c r="IV8" s="7"/>
    </row>
    <row r="9" spans="1:256" s="8" customFormat="1" ht="25.5" customHeight="1" x14ac:dyDescent="0.2">
      <c r="A9" s="222" t="str">
        <f>IF(Eingabe!A113="","",Eingabe!A113)</f>
        <v/>
      </c>
      <c r="B9" s="145"/>
      <c r="C9" s="145"/>
      <c r="D9" s="145"/>
      <c r="E9" s="145" t="str">
        <f>IF(Eingabe!B113="","",Eingabe!B113)</f>
        <v/>
      </c>
      <c r="F9" s="145"/>
      <c r="G9" s="145"/>
      <c r="H9" s="145"/>
      <c r="I9" s="137" t="str">
        <f>IF(Eingabe!C113="","",Eingabe!C113)</f>
        <v/>
      </c>
      <c r="J9" s="137"/>
      <c r="K9" s="137"/>
      <c r="L9" s="137"/>
      <c r="M9" s="232" t="str">
        <f>IF(Eingabe!D113&amp;""&amp;Eingabe!E113="","",Eingabe!D113&amp;" 
"&amp;Eingabe!E113)</f>
        <v/>
      </c>
      <c r="N9" s="232"/>
      <c r="O9" s="232"/>
      <c r="P9" s="232"/>
      <c r="Q9" s="232"/>
      <c r="R9" s="232"/>
      <c r="S9" s="232"/>
      <c r="T9" s="232"/>
      <c r="U9" s="232"/>
      <c r="V9" s="232"/>
      <c r="W9" s="232"/>
      <c r="X9" s="232"/>
      <c r="Y9" s="232"/>
      <c r="Z9" s="232"/>
      <c r="AA9" s="232"/>
      <c r="AB9" s="232"/>
      <c r="AC9" s="232"/>
      <c r="AD9" s="232"/>
      <c r="AE9" s="232"/>
      <c r="AF9" s="232"/>
      <c r="AG9" s="137" t="str">
        <f>IF(Eingabe!F113&amp;""&amp;Eingabe!G113="","",Eingabe!F113&amp;" 
"&amp;Eingabe!G113)</f>
        <v/>
      </c>
      <c r="AH9" s="137"/>
      <c r="AI9" s="137"/>
      <c r="AJ9" s="137"/>
      <c r="AK9" s="137"/>
      <c r="AL9" s="137"/>
      <c r="AM9" s="137"/>
      <c r="AN9" s="137"/>
      <c r="AO9" s="137"/>
      <c r="AP9" s="137"/>
      <c r="AQ9" s="137"/>
      <c r="AR9" s="137"/>
      <c r="AS9" s="137"/>
      <c r="AT9" s="137"/>
      <c r="AU9" s="137"/>
      <c r="AV9" s="137"/>
      <c r="AW9" s="137"/>
      <c r="AX9" s="137" t="str">
        <f>IF(Eingabe!H113="","",Eingabe!H113)</f>
        <v/>
      </c>
      <c r="AY9" s="137"/>
      <c r="AZ9" s="137"/>
      <c r="BA9" s="137"/>
      <c r="BB9" s="137" t="str">
        <f>IF(Eingabe!K113="","",Eingabe!K113)</f>
        <v/>
      </c>
      <c r="BC9" s="137"/>
      <c r="BD9" s="137"/>
      <c r="BE9" s="137"/>
      <c r="BF9" s="137"/>
      <c r="BG9" s="137"/>
      <c r="BH9" s="137"/>
      <c r="BI9" s="137"/>
      <c r="BJ9" s="137"/>
      <c r="BK9" s="137"/>
      <c r="BL9" s="137"/>
      <c r="BM9" s="137"/>
      <c r="BN9" s="138"/>
      <c r="BO9" s="6"/>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row>
    <row r="10" spans="1:256" s="8" customFormat="1" ht="25.5" customHeight="1" x14ac:dyDescent="0.2">
      <c r="A10" s="222" t="str">
        <f>IF(Eingabe!A114="","",Eingabe!A114)</f>
        <v/>
      </c>
      <c r="B10" s="145"/>
      <c r="C10" s="145"/>
      <c r="D10" s="145"/>
      <c r="E10" s="145" t="str">
        <f>IF(Eingabe!B114="","",Eingabe!B114)</f>
        <v/>
      </c>
      <c r="F10" s="145"/>
      <c r="G10" s="145"/>
      <c r="H10" s="145"/>
      <c r="I10" s="137" t="str">
        <f>IF(Eingabe!C114="","",Eingabe!C114)</f>
        <v/>
      </c>
      <c r="J10" s="137"/>
      <c r="K10" s="137"/>
      <c r="L10" s="137"/>
      <c r="M10" s="232" t="str">
        <f>IF(Eingabe!D114&amp;""&amp;Eingabe!E114="","",Eingabe!D114&amp;" 
"&amp;Eingabe!E114)</f>
        <v/>
      </c>
      <c r="N10" s="232"/>
      <c r="O10" s="232"/>
      <c r="P10" s="232"/>
      <c r="Q10" s="232"/>
      <c r="R10" s="232"/>
      <c r="S10" s="232"/>
      <c r="T10" s="232"/>
      <c r="U10" s="232"/>
      <c r="V10" s="232"/>
      <c r="W10" s="232"/>
      <c r="X10" s="232"/>
      <c r="Y10" s="232"/>
      <c r="Z10" s="232"/>
      <c r="AA10" s="232"/>
      <c r="AB10" s="232"/>
      <c r="AC10" s="232"/>
      <c r="AD10" s="232"/>
      <c r="AE10" s="232"/>
      <c r="AF10" s="232"/>
      <c r="AG10" s="137" t="str">
        <f>IF(Eingabe!F114&amp;""&amp;Eingabe!G114="","",Eingabe!F114&amp;" 
"&amp;Eingabe!G114)</f>
        <v/>
      </c>
      <c r="AH10" s="137"/>
      <c r="AI10" s="137"/>
      <c r="AJ10" s="137"/>
      <c r="AK10" s="137"/>
      <c r="AL10" s="137"/>
      <c r="AM10" s="137"/>
      <c r="AN10" s="137"/>
      <c r="AO10" s="137"/>
      <c r="AP10" s="137"/>
      <c r="AQ10" s="137"/>
      <c r="AR10" s="137"/>
      <c r="AS10" s="137"/>
      <c r="AT10" s="137"/>
      <c r="AU10" s="137"/>
      <c r="AV10" s="137"/>
      <c r="AW10" s="137"/>
      <c r="AX10" s="137" t="str">
        <f>IF(Eingabe!H114="","",Eingabe!H114)</f>
        <v/>
      </c>
      <c r="AY10" s="137"/>
      <c r="AZ10" s="137"/>
      <c r="BA10" s="137"/>
      <c r="BB10" s="137" t="str">
        <f>IF(Eingabe!K114="","",Eingabe!K114)</f>
        <v/>
      </c>
      <c r="BC10" s="137"/>
      <c r="BD10" s="137"/>
      <c r="BE10" s="137"/>
      <c r="BF10" s="137"/>
      <c r="BG10" s="137"/>
      <c r="BH10" s="137"/>
      <c r="BI10" s="137"/>
      <c r="BJ10" s="137"/>
      <c r="BK10" s="137"/>
      <c r="BL10" s="137"/>
      <c r="BM10" s="137"/>
      <c r="BN10" s="138"/>
      <c r="BO10" s="6"/>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row>
    <row r="11" spans="1:256" s="8" customFormat="1" ht="25.5" customHeight="1" x14ac:dyDescent="0.2">
      <c r="A11" s="222" t="str">
        <f>IF(Eingabe!A115="","",Eingabe!A115)</f>
        <v/>
      </c>
      <c r="B11" s="145"/>
      <c r="C11" s="145"/>
      <c r="D11" s="145"/>
      <c r="E11" s="145" t="str">
        <f>IF(Eingabe!B115="","",Eingabe!B115)</f>
        <v/>
      </c>
      <c r="F11" s="145"/>
      <c r="G11" s="145"/>
      <c r="H11" s="145"/>
      <c r="I11" s="137" t="str">
        <f>IF(Eingabe!C115="","",Eingabe!C115)</f>
        <v/>
      </c>
      <c r="J11" s="137"/>
      <c r="K11" s="137"/>
      <c r="L11" s="137"/>
      <c r="M11" s="232" t="str">
        <f>IF(Eingabe!D115&amp;""&amp;Eingabe!E115="","",Eingabe!D115&amp;" 
"&amp;Eingabe!E115)</f>
        <v/>
      </c>
      <c r="N11" s="232"/>
      <c r="O11" s="232"/>
      <c r="P11" s="232"/>
      <c r="Q11" s="232"/>
      <c r="R11" s="232"/>
      <c r="S11" s="232"/>
      <c r="T11" s="232"/>
      <c r="U11" s="232"/>
      <c r="V11" s="232"/>
      <c r="W11" s="232"/>
      <c r="X11" s="232"/>
      <c r="Y11" s="232"/>
      <c r="Z11" s="232"/>
      <c r="AA11" s="232"/>
      <c r="AB11" s="232"/>
      <c r="AC11" s="232"/>
      <c r="AD11" s="232"/>
      <c r="AE11" s="232"/>
      <c r="AF11" s="232"/>
      <c r="AG11" s="137" t="str">
        <f>IF(Eingabe!F115&amp;""&amp;Eingabe!G115="","",Eingabe!F115&amp;" 
"&amp;Eingabe!G115)</f>
        <v/>
      </c>
      <c r="AH11" s="137"/>
      <c r="AI11" s="137"/>
      <c r="AJ11" s="137"/>
      <c r="AK11" s="137"/>
      <c r="AL11" s="137"/>
      <c r="AM11" s="137"/>
      <c r="AN11" s="137"/>
      <c r="AO11" s="137"/>
      <c r="AP11" s="137"/>
      <c r="AQ11" s="137"/>
      <c r="AR11" s="137"/>
      <c r="AS11" s="137"/>
      <c r="AT11" s="137"/>
      <c r="AU11" s="137"/>
      <c r="AV11" s="137"/>
      <c r="AW11" s="137"/>
      <c r="AX11" s="137" t="str">
        <f>IF(Eingabe!H115="","",Eingabe!H115)</f>
        <v/>
      </c>
      <c r="AY11" s="137"/>
      <c r="AZ11" s="137"/>
      <c r="BA11" s="137"/>
      <c r="BB11" s="137" t="str">
        <f>IF(Eingabe!K115="","",Eingabe!K115)</f>
        <v/>
      </c>
      <c r="BC11" s="137"/>
      <c r="BD11" s="137"/>
      <c r="BE11" s="137"/>
      <c r="BF11" s="137"/>
      <c r="BG11" s="137"/>
      <c r="BH11" s="137"/>
      <c r="BI11" s="137"/>
      <c r="BJ11" s="137"/>
      <c r="BK11" s="137"/>
      <c r="BL11" s="137"/>
      <c r="BM11" s="137"/>
      <c r="BN11" s="138"/>
      <c r="BO11" s="6"/>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7"/>
      <c r="EJ11" s="7"/>
      <c r="EK11" s="7"/>
      <c r="EL11" s="7"/>
      <c r="EM11" s="7"/>
      <c r="EN11" s="7"/>
      <c r="EO11" s="7"/>
      <c r="EP11" s="7"/>
      <c r="EQ11" s="7"/>
      <c r="ER11" s="7"/>
      <c r="ES11" s="7"/>
      <c r="ET11" s="7"/>
      <c r="EU11" s="7"/>
      <c r="EV11" s="7"/>
      <c r="EW11" s="7"/>
      <c r="EX11" s="7"/>
      <c r="EY11" s="7"/>
      <c r="EZ11" s="7"/>
      <c r="FA11" s="7"/>
      <c r="FB11" s="7"/>
      <c r="FC11" s="7"/>
      <c r="FD11" s="7"/>
      <c r="FE11" s="7"/>
      <c r="FF11" s="7"/>
      <c r="FG11" s="7"/>
      <c r="FH11" s="7"/>
      <c r="FI11" s="7"/>
      <c r="FJ11" s="7"/>
      <c r="FK11" s="7"/>
      <c r="FL11" s="7"/>
      <c r="FM11" s="7"/>
      <c r="FN11" s="7"/>
      <c r="FO11" s="7"/>
      <c r="FP11" s="7"/>
      <c r="FQ11" s="7"/>
      <c r="FR11" s="7"/>
      <c r="FS11" s="7"/>
      <c r="FT11" s="7"/>
      <c r="FU11" s="7"/>
      <c r="FV11" s="7"/>
      <c r="FW11" s="7"/>
      <c r="FX11" s="7"/>
      <c r="FY11" s="7"/>
      <c r="FZ11" s="7"/>
      <c r="GA11" s="7"/>
      <c r="GB11" s="7"/>
      <c r="GC11" s="7"/>
      <c r="GD11" s="7"/>
      <c r="GE11" s="7"/>
      <c r="GF11" s="7"/>
      <c r="GG11" s="7"/>
      <c r="GH11" s="7"/>
      <c r="GI11" s="7"/>
      <c r="GJ11" s="7"/>
      <c r="GK11" s="7"/>
      <c r="GL11" s="7"/>
      <c r="GM11" s="7"/>
      <c r="GN11" s="7"/>
      <c r="GO11" s="7"/>
      <c r="GP11" s="7"/>
      <c r="GQ11" s="7"/>
      <c r="GR11" s="7"/>
      <c r="GS11" s="7"/>
      <c r="GT11" s="7"/>
      <c r="GU11" s="7"/>
      <c r="GV11" s="7"/>
      <c r="GW11" s="7"/>
      <c r="GX11" s="7"/>
      <c r="GY11" s="7"/>
      <c r="GZ11" s="7"/>
      <c r="HA11" s="7"/>
      <c r="HB11" s="7"/>
      <c r="HC11" s="7"/>
      <c r="HD11" s="7"/>
      <c r="HE11" s="7"/>
      <c r="HF11" s="7"/>
      <c r="HG11" s="7"/>
      <c r="HH11" s="7"/>
      <c r="HI11" s="7"/>
      <c r="HJ11" s="7"/>
      <c r="HK11" s="7"/>
      <c r="HL11" s="7"/>
      <c r="HM11" s="7"/>
      <c r="HN11" s="7"/>
      <c r="HO11" s="7"/>
      <c r="HP11" s="7"/>
      <c r="HQ11" s="7"/>
      <c r="HR11" s="7"/>
      <c r="HS11" s="7"/>
      <c r="HT11" s="7"/>
      <c r="HU11" s="7"/>
      <c r="HV11" s="7"/>
      <c r="HW11" s="7"/>
      <c r="HX11" s="7"/>
      <c r="HY11" s="7"/>
      <c r="HZ11" s="7"/>
      <c r="IA11" s="7"/>
      <c r="IB11" s="7"/>
      <c r="IC11" s="7"/>
      <c r="ID11" s="7"/>
      <c r="IE11" s="7"/>
      <c r="IF11" s="7"/>
      <c r="IG11" s="7"/>
      <c r="IH11" s="7"/>
      <c r="II11" s="7"/>
      <c r="IJ11" s="7"/>
      <c r="IK11" s="7"/>
      <c r="IL11" s="7"/>
      <c r="IM11" s="7"/>
      <c r="IN11" s="7"/>
      <c r="IO11" s="7"/>
      <c r="IP11" s="7"/>
      <c r="IQ11" s="7"/>
      <c r="IR11" s="7"/>
      <c r="IS11" s="7"/>
      <c r="IT11" s="7"/>
      <c r="IU11" s="7"/>
      <c r="IV11" s="7"/>
    </row>
    <row r="12" spans="1:256" s="8" customFormat="1" ht="25.5" customHeight="1" x14ac:dyDescent="0.2">
      <c r="A12" s="222" t="str">
        <f>IF(Eingabe!A116="","",Eingabe!A116)</f>
        <v/>
      </c>
      <c r="B12" s="145"/>
      <c r="C12" s="145"/>
      <c r="D12" s="145"/>
      <c r="E12" s="145" t="str">
        <f>IF(Eingabe!B116="","",Eingabe!B116)</f>
        <v/>
      </c>
      <c r="F12" s="145"/>
      <c r="G12" s="145"/>
      <c r="H12" s="145"/>
      <c r="I12" s="137" t="str">
        <f>IF(Eingabe!C116="","",Eingabe!C116)</f>
        <v/>
      </c>
      <c r="J12" s="137"/>
      <c r="K12" s="137"/>
      <c r="L12" s="137"/>
      <c r="M12" s="232" t="str">
        <f>IF(Eingabe!D116&amp;""&amp;Eingabe!E116="","",Eingabe!D116&amp;" 
"&amp;Eingabe!E116)</f>
        <v/>
      </c>
      <c r="N12" s="232"/>
      <c r="O12" s="232"/>
      <c r="P12" s="232"/>
      <c r="Q12" s="232"/>
      <c r="R12" s="232"/>
      <c r="S12" s="232"/>
      <c r="T12" s="232"/>
      <c r="U12" s="232"/>
      <c r="V12" s="232"/>
      <c r="W12" s="232"/>
      <c r="X12" s="232"/>
      <c r="Y12" s="232"/>
      <c r="Z12" s="232"/>
      <c r="AA12" s="232"/>
      <c r="AB12" s="232"/>
      <c r="AC12" s="232"/>
      <c r="AD12" s="232"/>
      <c r="AE12" s="232"/>
      <c r="AF12" s="232"/>
      <c r="AG12" s="137" t="str">
        <f>IF(Eingabe!F116&amp;""&amp;Eingabe!G116="","",Eingabe!F116&amp;" 
"&amp;Eingabe!G116)</f>
        <v/>
      </c>
      <c r="AH12" s="137"/>
      <c r="AI12" s="137"/>
      <c r="AJ12" s="137"/>
      <c r="AK12" s="137"/>
      <c r="AL12" s="137"/>
      <c r="AM12" s="137"/>
      <c r="AN12" s="137"/>
      <c r="AO12" s="137"/>
      <c r="AP12" s="137"/>
      <c r="AQ12" s="137"/>
      <c r="AR12" s="137"/>
      <c r="AS12" s="137"/>
      <c r="AT12" s="137"/>
      <c r="AU12" s="137"/>
      <c r="AV12" s="137"/>
      <c r="AW12" s="137"/>
      <c r="AX12" s="137" t="str">
        <f>IF(Eingabe!H116="","",Eingabe!H116)</f>
        <v/>
      </c>
      <c r="AY12" s="137"/>
      <c r="AZ12" s="137"/>
      <c r="BA12" s="137"/>
      <c r="BB12" s="137" t="str">
        <f>IF(Eingabe!K116="","",Eingabe!K116)</f>
        <v/>
      </c>
      <c r="BC12" s="137"/>
      <c r="BD12" s="137"/>
      <c r="BE12" s="137"/>
      <c r="BF12" s="137"/>
      <c r="BG12" s="137"/>
      <c r="BH12" s="137"/>
      <c r="BI12" s="137"/>
      <c r="BJ12" s="137"/>
      <c r="BK12" s="137"/>
      <c r="BL12" s="137"/>
      <c r="BM12" s="137"/>
      <c r="BN12" s="138"/>
      <c r="BO12" s="6"/>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c r="IM12" s="7"/>
      <c r="IN12" s="7"/>
      <c r="IO12" s="7"/>
      <c r="IP12" s="7"/>
      <c r="IQ12" s="7"/>
      <c r="IR12" s="7"/>
      <c r="IS12" s="7"/>
      <c r="IT12" s="7"/>
      <c r="IU12" s="7"/>
      <c r="IV12" s="7"/>
    </row>
    <row r="13" spans="1:256" s="8" customFormat="1" ht="25.5" customHeight="1" x14ac:dyDescent="0.2">
      <c r="A13" s="222" t="str">
        <f>IF(Eingabe!A117="","",Eingabe!A117)</f>
        <v/>
      </c>
      <c r="B13" s="145"/>
      <c r="C13" s="145"/>
      <c r="D13" s="145"/>
      <c r="E13" s="145" t="str">
        <f>IF(Eingabe!B117="","",Eingabe!B117)</f>
        <v/>
      </c>
      <c r="F13" s="145"/>
      <c r="G13" s="145"/>
      <c r="H13" s="145"/>
      <c r="I13" s="137" t="str">
        <f>IF(Eingabe!C117="","",Eingabe!C117)</f>
        <v/>
      </c>
      <c r="J13" s="137"/>
      <c r="K13" s="137"/>
      <c r="L13" s="137"/>
      <c r="M13" s="232" t="str">
        <f>IF(Eingabe!D117&amp;""&amp;Eingabe!E117="","",Eingabe!D117&amp;" 
"&amp;Eingabe!E117)</f>
        <v/>
      </c>
      <c r="N13" s="232"/>
      <c r="O13" s="232"/>
      <c r="P13" s="232"/>
      <c r="Q13" s="232"/>
      <c r="R13" s="232"/>
      <c r="S13" s="232"/>
      <c r="T13" s="232"/>
      <c r="U13" s="232"/>
      <c r="V13" s="232"/>
      <c r="W13" s="232"/>
      <c r="X13" s="232"/>
      <c r="Y13" s="232"/>
      <c r="Z13" s="232"/>
      <c r="AA13" s="232"/>
      <c r="AB13" s="232"/>
      <c r="AC13" s="232"/>
      <c r="AD13" s="232"/>
      <c r="AE13" s="232"/>
      <c r="AF13" s="232"/>
      <c r="AG13" s="137" t="str">
        <f>IF(Eingabe!F117&amp;""&amp;Eingabe!G117="","",Eingabe!F117&amp;" 
"&amp;Eingabe!G117)</f>
        <v/>
      </c>
      <c r="AH13" s="137"/>
      <c r="AI13" s="137"/>
      <c r="AJ13" s="137"/>
      <c r="AK13" s="137"/>
      <c r="AL13" s="137"/>
      <c r="AM13" s="137"/>
      <c r="AN13" s="137"/>
      <c r="AO13" s="137"/>
      <c r="AP13" s="137"/>
      <c r="AQ13" s="137"/>
      <c r="AR13" s="137"/>
      <c r="AS13" s="137"/>
      <c r="AT13" s="137"/>
      <c r="AU13" s="137"/>
      <c r="AV13" s="137"/>
      <c r="AW13" s="137"/>
      <c r="AX13" s="137" t="str">
        <f>IF(Eingabe!H117="","",Eingabe!H117)</f>
        <v/>
      </c>
      <c r="AY13" s="137"/>
      <c r="AZ13" s="137"/>
      <c r="BA13" s="137"/>
      <c r="BB13" s="137" t="str">
        <f>IF(Eingabe!K117="","",Eingabe!K117)</f>
        <v/>
      </c>
      <c r="BC13" s="137"/>
      <c r="BD13" s="137"/>
      <c r="BE13" s="137"/>
      <c r="BF13" s="137"/>
      <c r="BG13" s="137"/>
      <c r="BH13" s="137"/>
      <c r="BI13" s="137"/>
      <c r="BJ13" s="137"/>
      <c r="BK13" s="137"/>
      <c r="BL13" s="137"/>
      <c r="BM13" s="137"/>
      <c r="BN13" s="138"/>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row>
    <row r="14" spans="1:256" s="8" customFormat="1" ht="25.5" customHeight="1" x14ac:dyDescent="0.2">
      <c r="A14" s="222" t="str">
        <f>IF(Eingabe!A118="","",Eingabe!A118)</f>
        <v/>
      </c>
      <c r="B14" s="145"/>
      <c r="C14" s="145"/>
      <c r="D14" s="145"/>
      <c r="E14" s="145" t="str">
        <f>IF(Eingabe!B118="","",Eingabe!B118)</f>
        <v/>
      </c>
      <c r="F14" s="145"/>
      <c r="G14" s="145"/>
      <c r="H14" s="145"/>
      <c r="I14" s="137" t="str">
        <f>IF(Eingabe!C118="","",Eingabe!C118)</f>
        <v/>
      </c>
      <c r="J14" s="137"/>
      <c r="K14" s="137"/>
      <c r="L14" s="137"/>
      <c r="M14" s="232" t="str">
        <f>IF(Eingabe!D118&amp;""&amp;Eingabe!E118="","",Eingabe!D118&amp;" 
"&amp;Eingabe!E118)</f>
        <v/>
      </c>
      <c r="N14" s="232"/>
      <c r="O14" s="232"/>
      <c r="P14" s="232"/>
      <c r="Q14" s="232"/>
      <c r="R14" s="232"/>
      <c r="S14" s="232"/>
      <c r="T14" s="232"/>
      <c r="U14" s="232"/>
      <c r="V14" s="232"/>
      <c r="W14" s="232"/>
      <c r="X14" s="232"/>
      <c r="Y14" s="232"/>
      <c r="Z14" s="232"/>
      <c r="AA14" s="232"/>
      <c r="AB14" s="232"/>
      <c r="AC14" s="232"/>
      <c r="AD14" s="232"/>
      <c r="AE14" s="232"/>
      <c r="AF14" s="232"/>
      <c r="AG14" s="137" t="str">
        <f>IF(Eingabe!F118&amp;""&amp;Eingabe!G118="","",Eingabe!F118&amp;" 
"&amp;Eingabe!G118)</f>
        <v/>
      </c>
      <c r="AH14" s="137"/>
      <c r="AI14" s="137"/>
      <c r="AJ14" s="137"/>
      <c r="AK14" s="137"/>
      <c r="AL14" s="137"/>
      <c r="AM14" s="137"/>
      <c r="AN14" s="137"/>
      <c r="AO14" s="137"/>
      <c r="AP14" s="137"/>
      <c r="AQ14" s="137"/>
      <c r="AR14" s="137"/>
      <c r="AS14" s="137"/>
      <c r="AT14" s="137"/>
      <c r="AU14" s="137"/>
      <c r="AV14" s="137"/>
      <c r="AW14" s="137"/>
      <c r="AX14" s="137" t="str">
        <f>IF(Eingabe!H118="","",Eingabe!H118)</f>
        <v/>
      </c>
      <c r="AY14" s="137"/>
      <c r="AZ14" s="137"/>
      <c r="BA14" s="137"/>
      <c r="BB14" s="137" t="str">
        <f>IF(Eingabe!K118="","",Eingabe!K118)</f>
        <v/>
      </c>
      <c r="BC14" s="137"/>
      <c r="BD14" s="137"/>
      <c r="BE14" s="137"/>
      <c r="BF14" s="137"/>
      <c r="BG14" s="137"/>
      <c r="BH14" s="137"/>
      <c r="BI14" s="137"/>
      <c r="BJ14" s="137"/>
      <c r="BK14" s="137"/>
      <c r="BL14" s="137"/>
      <c r="BM14" s="137"/>
      <c r="BN14" s="138"/>
      <c r="BO14" s="7"/>
      <c r="BP14" s="7"/>
      <c r="BQ14" s="7"/>
      <c r="BR14" s="7"/>
      <c r="BS14" s="7"/>
      <c r="BT14" s="7"/>
      <c r="BU14" s="7"/>
      <c r="BV14" s="7"/>
      <c r="BW14" s="7"/>
      <c r="BX14" s="7"/>
      <c r="BY14" s="7"/>
      <c r="BZ14" s="7"/>
      <c r="CA14" s="7"/>
      <c r="CB14" s="7"/>
      <c r="CC14" s="7"/>
      <c r="CD14" s="7"/>
      <c r="CE14" s="7"/>
      <c r="CF14" s="7"/>
      <c r="CG14" s="7"/>
      <c r="CH14" s="7"/>
      <c r="CI14" s="7"/>
      <c r="CJ14" s="7"/>
      <c r="CK14" s="7"/>
      <c r="CL14" s="7"/>
      <c r="CM14" s="7"/>
      <c r="CN14" s="7"/>
      <c r="CO14" s="7"/>
      <c r="CP14" s="7"/>
      <c r="CQ14" s="7"/>
      <c r="CR14" s="7"/>
      <c r="CS14" s="7"/>
      <c r="CT14" s="7"/>
      <c r="CU14" s="7"/>
      <c r="CV14" s="7"/>
      <c r="CW14" s="7"/>
      <c r="CX14" s="7"/>
      <c r="CY14" s="7"/>
      <c r="CZ14" s="7"/>
      <c r="DA14" s="7"/>
      <c r="DB14" s="7"/>
      <c r="DC14" s="7"/>
      <c r="DD14" s="7"/>
      <c r="DE14" s="7"/>
      <c r="DF14" s="7"/>
      <c r="DG14" s="7"/>
      <c r="DH14" s="7"/>
      <c r="DI14" s="7"/>
      <c r="DJ14" s="7"/>
      <c r="DK14" s="7"/>
      <c r="DL14" s="7"/>
      <c r="DM14" s="7"/>
      <c r="DN14" s="7"/>
      <c r="DO14" s="7"/>
      <c r="DP14" s="7"/>
      <c r="DQ14" s="7"/>
      <c r="DR14" s="7"/>
      <c r="DS14" s="7"/>
      <c r="DT14" s="7"/>
      <c r="DU14" s="7"/>
      <c r="DV14" s="7"/>
      <c r="DW14" s="7"/>
      <c r="DX14" s="7"/>
      <c r="DY14" s="7"/>
      <c r="DZ14" s="7"/>
      <c r="EA14" s="7"/>
      <c r="EB14" s="7"/>
      <c r="EC14" s="7"/>
      <c r="ED14" s="7"/>
      <c r="EE14" s="7"/>
      <c r="EF14" s="7"/>
      <c r="EG14" s="7"/>
      <c r="EH14" s="7"/>
      <c r="EI14" s="7"/>
      <c r="EJ14" s="7"/>
      <c r="EK14" s="7"/>
      <c r="EL14" s="7"/>
      <c r="EM14" s="7"/>
      <c r="EN14" s="7"/>
      <c r="EO14" s="7"/>
      <c r="EP14" s="7"/>
      <c r="EQ14" s="7"/>
      <c r="ER14" s="7"/>
      <c r="ES14" s="7"/>
      <c r="ET14" s="7"/>
      <c r="EU14" s="7"/>
      <c r="EV14" s="7"/>
      <c r="EW14" s="7"/>
      <c r="EX14" s="7"/>
      <c r="EY14" s="7"/>
      <c r="EZ14" s="7"/>
      <c r="FA14" s="7"/>
      <c r="FB14" s="7"/>
      <c r="FC14" s="7"/>
      <c r="FD14" s="7"/>
      <c r="FE14" s="7"/>
      <c r="FF14" s="7"/>
      <c r="FG14" s="7"/>
      <c r="FH14" s="7"/>
      <c r="FI14" s="7"/>
      <c r="FJ14" s="7"/>
      <c r="FK14" s="7"/>
      <c r="FL14" s="7"/>
      <c r="FM14" s="7"/>
      <c r="FN14" s="7"/>
      <c r="FO14" s="7"/>
      <c r="FP14" s="7"/>
      <c r="FQ14" s="7"/>
      <c r="FR14" s="7"/>
      <c r="FS14" s="7"/>
      <c r="FT14" s="7"/>
      <c r="FU14" s="7"/>
      <c r="FV14" s="7"/>
      <c r="FW14" s="7"/>
      <c r="FX14" s="7"/>
      <c r="FY14" s="7"/>
      <c r="FZ14" s="7"/>
      <c r="GA14" s="7"/>
      <c r="GB14" s="7"/>
      <c r="GC14" s="7"/>
      <c r="GD14" s="7"/>
      <c r="GE14" s="7"/>
      <c r="GF14" s="7"/>
      <c r="GG14" s="7"/>
      <c r="GH14" s="7"/>
      <c r="GI14" s="7"/>
      <c r="GJ14" s="7"/>
      <c r="GK14" s="7"/>
      <c r="GL14" s="7"/>
      <c r="GM14" s="7"/>
      <c r="GN14" s="7"/>
      <c r="GO14" s="7"/>
      <c r="GP14" s="7"/>
      <c r="GQ14" s="7"/>
      <c r="GR14" s="7"/>
      <c r="GS14" s="7"/>
      <c r="GT14" s="7"/>
      <c r="GU14" s="7"/>
      <c r="GV14" s="7"/>
      <c r="GW14" s="7"/>
      <c r="GX14" s="7"/>
      <c r="GY14" s="7"/>
      <c r="GZ14" s="7"/>
      <c r="HA14" s="7"/>
      <c r="HB14" s="7"/>
      <c r="HC14" s="7"/>
      <c r="HD14" s="7"/>
      <c r="HE14" s="7"/>
      <c r="HF14" s="7"/>
      <c r="HG14" s="7"/>
      <c r="HH14" s="7"/>
      <c r="HI14" s="7"/>
      <c r="HJ14" s="7"/>
      <c r="HK14" s="7"/>
      <c r="HL14" s="7"/>
      <c r="HM14" s="7"/>
      <c r="HN14" s="7"/>
      <c r="HO14" s="7"/>
      <c r="HP14" s="7"/>
      <c r="HQ14" s="7"/>
      <c r="HR14" s="7"/>
      <c r="HS14" s="7"/>
      <c r="HT14" s="7"/>
      <c r="HU14" s="7"/>
      <c r="HV14" s="7"/>
      <c r="HW14" s="7"/>
      <c r="HX14" s="7"/>
      <c r="HY14" s="7"/>
      <c r="HZ14" s="7"/>
      <c r="IA14" s="7"/>
      <c r="IB14" s="7"/>
      <c r="IC14" s="7"/>
      <c r="ID14" s="7"/>
      <c r="IE14" s="7"/>
      <c r="IF14" s="7"/>
      <c r="IG14" s="7"/>
      <c r="IH14" s="7"/>
      <c r="II14" s="7"/>
      <c r="IJ14" s="7"/>
      <c r="IK14" s="7"/>
      <c r="IL14" s="7"/>
      <c r="IM14" s="7"/>
      <c r="IN14" s="7"/>
      <c r="IO14" s="7"/>
      <c r="IP14" s="7"/>
      <c r="IQ14" s="7"/>
      <c r="IR14" s="7"/>
      <c r="IS14" s="7"/>
      <c r="IT14" s="7"/>
      <c r="IU14" s="7"/>
      <c r="IV14" s="7"/>
    </row>
    <row r="15" spans="1:256" s="8" customFormat="1" ht="25.5" customHeight="1" x14ac:dyDescent="0.2">
      <c r="A15" s="222" t="str">
        <f>IF(Eingabe!A119="","",Eingabe!A119)</f>
        <v/>
      </c>
      <c r="B15" s="145"/>
      <c r="C15" s="145"/>
      <c r="D15" s="145"/>
      <c r="E15" s="145" t="str">
        <f>IF(Eingabe!B119="","",Eingabe!B119)</f>
        <v/>
      </c>
      <c r="F15" s="145"/>
      <c r="G15" s="145"/>
      <c r="H15" s="145"/>
      <c r="I15" s="137" t="str">
        <f>IF(Eingabe!C119="","",Eingabe!C119)</f>
        <v/>
      </c>
      <c r="J15" s="137"/>
      <c r="K15" s="137"/>
      <c r="L15" s="137"/>
      <c r="M15" s="232" t="str">
        <f>IF(Eingabe!D119&amp;""&amp;Eingabe!E119="","",Eingabe!D119&amp;" 
"&amp;Eingabe!E119)</f>
        <v/>
      </c>
      <c r="N15" s="232"/>
      <c r="O15" s="232"/>
      <c r="P15" s="232"/>
      <c r="Q15" s="232"/>
      <c r="R15" s="232"/>
      <c r="S15" s="232"/>
      <c r="T15" s="232"/>
      <c r="U15" s="232"/>
      <c r="V15" s="232"/>
      <c r="W15" s="232"/>
      <c r="X15" s="232"/>
      <c r="Y15" s="232"/>
      <c r="Z15" s="232"/>
      <c r="AA15" s="232"/>
      <c r="AB15" s="232"/>
      <c r="AC15" s="232"/>
      <c r="AD15" s="232"/>
      <c r="AE15" s="232"/>
      <c r="AF15" s="232"/>
      <c r="AG15" s="137" t="str">
        <f>IF(Eingabe!F119&amp;""&amp;Eingabe!G119="","",Eingabe!F119&amp;" 
"&amp;Eingabe!G119)</f>
        <v/>
      </c>
      <c r="AH15" s="137"/>
      <c r="AI15" s="137"/>
      <c r="AJ15" s="137"/>
      <c r="AK15" s="137"/>
      <c r="AL15" s="137"/>
      <c r="AM15" s="137"/>
      <c r="AN15" s="137"/>
      <c r="AO15" s="137"/>
      <c r="AP15" s="137"/>
      <c r="AQ15" s="137"/>
      <c r="AR15" s="137"/>
      <c r="AS15" s="137"/>
      <c r="AT15" s="137"/>
      <c r="AU15" s="137"/>
      <c r="AV15" s="137"/>
      <c r="AW15" s="137"/>
      <c r="AX15" s="137" t="str">
        <f>IF(Eingabe!H119="","",Eingabe!H119)</f>
        <v/>
      </c>
      <c r="AY15" s="137"/>
      <c r="AZ15" s="137"/>
      <c r="BA15" s="137"/>
      <c r="BB15" s="137" t="str">
        <f>IF(Eingabe!K119="","",Eingabe!K119)</f>
        <v/>
      </c>
      <c r="BC15" s="137"/>
      <c r="BD15" s="137"/>
      <c r="BE15" s="137"/>
      <c r="BF15" s="137"/>
      <c r="BG15" s="137"/>
      <c r="BH15" s="137"/>
      <c r="BI15" s="137"/>
      <c r="BJ15" s="137"/>
      <c r="BK15" s="137"/>
      <c r="BL15" s="137"/>
      <c r="BM15" s="137"/>
      <c r="BN15" s="138"/>
      <c r="BO15" s="7"/>
      <c r="BP15" s="7"/>
      <c r="BQ15" s="7"/>
      <c r="BR15" s="7"/>
      <c r="BS15" s="7"/>
      <c r="BT15" s="7"/>
      <c r="BU15" s="7"/>
      <c r="BV15" s="7"/>
      <c r="BW15" s="7"/>
      <c r="BX15" s="7"/>
      <c r="BY15" s="7"/>
      <c r="BZ15" s="7"/>
      <c r="CA15" s="7"/>
      <c r="CB15" s="7"/>
      <c r="CC15" s="7"/>
      <c r="CD15" s="7"/>
      <c r="CE15" s="7"/>
      <c r="CF15" s="7"/>
      <c r="CG15" s="7"/>
      <c r="CH15" s="7"/>
      <c r="CI15" s="7"/>
      <c r="CJ15" s="7"/>
      <c r="CK15" s="7"/>
      <c r="CL15" s="7"/>
      <c r="CM15" s="7"/>
      <c r="CN15" s="7"/>
      <c r="CO15" s="7"/>
      <c r="CP15" s="7"/>
      <c r="CQ15" s="7"/>
      <c r="CR15" s="7"/>
      <c r="CS15" s="7"/>
      <c r="CT15" s="7"/>
      <c r="CU15" s="7"/>
      <c r="CV15" s="7"/>
      <c r="CW15" s="7"/>
      <c r="CX15" s="7"/>
      <c r="CY15" s="7"/>
      <c r="CZ15" s="7"/>
      <c r="DA15" s="7"/>
      <c r="DB15" s="7"/>
      <c r="DC15" s="7"/>
      <c r="DD15" s="7"/>
      <c r="DE15" s="7"/>
      <c r="DF15" s="7"/>
      <c r="DG15" s="7"/>
      <c r="DH15" s="7"/>
      <c r="DI15" s="7"/>
      <c r="DJ15" s="7"/>
      <c r="DK15" s="7"/>
      <c r="DL15" s="7"/>
      <c r="DM15" s="7"/>
      <c r="DN15" s="7"/>
      <c r="DO15" s="7"/>
      <c r="DP15" s="7"/>
      <c r="DQ15" s="7"/>
      <c r="DR15" s="7"/>
      <c r="DS15" s="7"/>
      <c r="DT15" s="7"/>
      <c r="DU15" s="7"/>
      <c r="DV15" s="7"/>
      <c r="DW15" s="7"/>
      <c r="DX15" s="7"/>
      <c r="DY15" s="7"/>
      <c r="DZ15" s="7"/>
      <c r="EA15" s="7"/>
      <c r="EB15" s="7"/>
      <c r="EC15" s="7"/>
      <c r="ED15" s="7"/>
      <c r="EE15" s="7"/>
      <c r="EF15" s="7"/>
      <c r="EG15" s="7"/>
      <c r="EH15" s="7"/>
      <c r="EI15" s="7"/>
      <c r="EJ15" s="7"/>
      <c r="EK15" s="7"/>
      <c r="EL15" s="7"/>
      <c r="EM15" s="7"/>
      <c r="EN15" s="7"/>
      <c r="EO15" s="7"/>
      <c r="EP15" s="7"/>
      <c r="EQ15" s="7"/>
      <c r="ER15" s="7"/>
      <c r="ES15" s="7"/>
      <c r="ET15" s="7"/>
      <c r="EU15" s="7"/>
      <c r="EV15" s="7"/>
      <c r="EW15" s="7"/>
      <c r="EX15" s="7"/>
      <c r="EY15" s="7"/>
      <c r="EZ15" s="7"/>
      <c r="FA15" s="7"/>
      <c r="FB15" s="7"/>
      <c r="FC15" s="7"/>
      <c r="FD15" s="7"/>
      <c r="FE15" s="7"/>
      <c r="FF15" s="7"/>
      <c r="FG15" s="7"/>
      <c r="FH15" s="7"/>
      <c r="FI15" s="7"/>
      <c r="FJ15" s="7"/>
      <c r="FK15" s="7"/>
      <c r="FL15" s="7"/>
      <c r="FM15" s="7"/>
      <c r="FN15" s="7"/>
      <c r="FO15" s="7"/>
      <c r="FP15" s="7"/>
      <c r="FQ15" s="7"/>
      <c r="FR15" s="7"/>
      <c r="FS15" s="7"/>
      <c r="FT15" s="7"/>
      <c r="FU15" s="7"/>
      <c r="FV15" s="7"/>
      <c r="FW15" s="7"/>
      <c r="FX15" s="7"/>
      <c r="FY15" s="7"/>
      <c r="FZ15" s="7"/>
      <c r="GA15" s="7"/>
      <c r="GB15" s="7"/>
      <c r="GC15" s="7"/>
      <c r="GD15" s="7"/>
      <c r="GE15" s="7"/>
      <c r="GF15" s="7"/>
      <c r="GG15" s="7"/>
      <c r="GH15" s="7"/>
      <c r="GI15" s="7"/>
      <c r="GJ15" s="7"/>
      <c r="GK15" s="7"/>
      <c r="GL15" s="7"/>
      <c r="GM15" s="7"/>
      <c r="GN15" s="7"/>
      <c r="GO15" s="7"/>
      <c r="GP15" s="7"/>
      <c r="GQ15" s="7"/>
      <c r="GR15" s="7"/>
      <c r="GS15" s="7"/>
      <c r="GT15" s="7"/>
      <c r="GU15" s="7"/>
      <c r="GV15" s="7"/>
      <c r="GW15" s="7"/>
      <c r="GX15" s="7"/>
      <c r="GY15" s="7"/>
      <c r="GZ15" s="7"/>
      <c r="HA15" s="7"/>
      <c r="HB15" s="7"/>
      <c r="HC15" s="7"/>
      <c r="HD15" s="7"/>
      <c r="HE15" s="7"/>
      <c r="HF15" s="7"/>
      <c r="HG15" s="7"/>
      <c r="HH15" s="7"/>
      <c r="HI15" s="7"/>
      <c r="HJ15" s="7"/>
      <c r="HK15" s="7"/>
      <c r="HL15" s="7"/>
      <c r="HM15" s="7"/>
      <c r="HN15" s="7"/>
      <c r="HO15" s="7"/>
      <c r="HP15" s="7"/>
      <c r="HQ15" s="7"/>
      <c r="HR15" s="7"/>
      <c r="HS15" s="7"/>
      <c r="HT15" s="7"/>
      <c r="HU15" s="7"/>
      <c r="HV15" s="7"/>
      <c r="HW15" s="7"/>
      <c r="HX15" s="7"/>
      <c r="HY15" s="7"/>
      <c r="HZ15" s="7"/>
      <c r="IA15" s="7"/>
      <c r="IB15" s="7"/>
      <c r="IC15" s="7"/>
      <c r="ID15" s="7"/>
      <c r="IE15" s="7"/>
      <c r="IF15" s="7"/>
      <c r="IG15" s="7"/>
      <c r="IH15" s="7"/>
      <c r="II15" s="7"/>
      <c r="IJ15" s="7"/>
      <c r="IK15" s="7"/>
      <c r="IL15" s="7"/>
      <c r="IM15" s="7"/>
      <c r="IN15" s="7"/>
      <c r="IO15" s="7"/>
      <c r="IP15" s="7"/>
      <c r="IQ15" s="7"/>
      <c r="IR15" s="7"/>
      <c r="IS15" s="7"/>
      <c r="IT15" s="7"/>
      <c r="IU15" s="7"/>
      <c r="IV15" s="7"/>
    </row>
    <row r="16" spans="1:256" s="8" customFormat="1" ht="25.5" customHeight="1" x14ac:dyDescent="0.2">
      <c r="A16" s="222" t="str">
        <f>IF(Eingabe!A120="","",Eingabe!A120)</f>
        <v/>
      </c>
      <c r="B16" s="145"/>
      <c r="C16" s="145"/>
      <c r="D16" s="145"/>
      <c r="E16" s="145" t="str">
        <f>IF(Eingabe!B120="","",Eingabe!B120)</f>
        <v/>
      </c>
      <c r="F16" s="145"/>
      <c r="G16" s="145"/>
      <c r="H16" s="145"/>
      <c r="I16" s="137" t="str">
        <f>IF(Eingabe!C120="","",Eingabe!C120)</f>
        <v/>
      </c>
      <c r="J16" s="137"/>
      <c r="K16" s="137"/>
      <c r="L16" s="137"/>
      <c r="M16" s="232" t="str">
        <f>IF(Eingabe!D120&amp;""&amp;Eingabe!E120="","",Eingabe!D120&amp;" 
"&amp;Eingabe!E120)</f>
        <v/>
      </c>
      <c r="N16" s="232"/>
      <c r="O16" s="232"/>
      <c r="P16" s="232"/>
      <c r="Q16" s="232"/>
      <c r="R16" s="232"/>
      <c r="S16" s="232"/>
      <c r="T16" s="232"/>
      <c r="U16" s="232"/>
      <c r="V16" s="232"/>
      <c r="W16" s="232"/>
      <c r="X16" s="232"/>
      <c r="Y16" s="232"/>
      <c r="Z16" s="232"/>
      <c r="AA16" s="232"/>
      <c r="AB16" s="232"/>
      <c r="AC16" s="232"/>
      <c r="AD16" s="232"/>
      <c r="AE16" s="232"/>
      <c r="AF16" s="232"/>
      <c r="AG16" s="137" t="str">
        <f>IF(Eingabe!F120&amp;""&amp;Eingabe!G120="","",Eingabe!F120&amp;" 
"&amp;Eingabe!G120)</f>
        <v/>
      </c>
      <c r="AH16" s="137"/>
      <c r="AI16" s="137"/>
      <c r="AJ16" s="137"/>
      <c r="AK16" s="137"/>
      <c r="AL16" s="137"/>
      <c r="AM16" s="137"/>
      <c r="AN16" s="137"/>
      <c r="AO16" s="137"/>
      <c r="AP16" s="137"/>
      <c r="AQ16" s="137"/>
      <c r="AR16" s="137"/>
      <c r="AS16" s="137"/>
      <c r="AT16" s="137"/>
      <c r="AU16" s="137"/>
      <c r="AV16" s="137"/>
      <c r="AW16" s="137"/>
      <c r="AX16" s="137" t="str">
        <f>IF(Eingabe!H120="","",Eingabe!H120)</f>
        <v/>
      </c>
      <c r="AY16" s="137"/>
      <c r="AZ16" s="137"/>
      <c r="BA16" s="137"/>
      <c r="BB16" s="137" t="str">
        <f>IF(Eingabe!K120="","",Eingabe!K120)</f>
        <v/>
      </c>
      <c r="BC16" s="137"/>
      <c r="BD16" s="137"/>
      <c r="BE16" s="137"/>
      <c r="BF16" s="137"/>
      <c r="BG16" s="137"/>
      <c r="BH16" s="137"/>
      <c r="BI16" s="137"/>
      <c r="BJ16" s="137"/>
      <c r="BK16" s="137"/>
      <c r="BL16" s="137"/>
      <c r="BM16" s="137"/>
      <c r="BN16" s="138"/>
      <c r="BO16" s="7"/>
      <c r="BP16" s="7"/>
      <c r="BQ16" s="7"/>
      <c r="BR16" s="7"/>
      <c r="BS16" s="7"/>
      <c r="BT16" s="7"/>
      <c r="BU16" s="7"/>
      <c r="BV16" s="7"/>
      <c r="BW16" s="7"/>
      <c r="BX16" s="7"/>
      <c r="BY16" s="7"/>
      <c r="BZ16" s="7"/>
      <c r="CA16" s="7"/>
      <c r="CB16" s="7"/>
      <c r="CC16" s="7"/>
      <c r="CD16" s="7"/>
      <c r="CE16" s="7"/>
      <c r="CF16" s="7"/>
      <c r="CG16" s="7"/>
      <c r="CH16" s="7"/>
      <c r="CI16" s="7"/>
      <c r="CJ16" s="7"/>
      <c r="CK16" s="7"/>
      <c r="CL16" s="7"/>
      <c r="CM16" s="7"/>
      <c r="CN16" s="7"/>
      <c r="CO16" s="7"/>
      <c r="CP16" s="7"/>
      <c r="CQ16" s="7"/>
      <c r="CR16" s="7"/>
      <c r="CS16" s="7"/>
      <c r="CT16" s="7"/>
      <c r="CU16" s="7"/>
      <c r="CV16" s="7"/>
      <c r="CW16" s="7"/>
      <c r="CX16" s="7"/>
      <c r="CY16" s="7"/>
      <c r="CZ16" s="7"/>
      <c r="DA16" s="7"/>
      <c r="DB16" s="7"/>
      <c r="DC16" s="7"/>
      <c r="DD16" s="7"/>
      <c r="DE16" s="7"/>
      <c r="DF16" s="7"/>
      <c r="DG16" s="7"/>
      <c r="DH16" s="7"/>
      <c r="DI16" s="7"/>
      <c r="DJ16" s="7"/>
      <c r="DK16" s="7"/>
      <c r="DL16" s="7"/>
      <c r="DM16" s="7"/>
      <c r="DN16" s="7"/>
      <c r="DO16" s="7"/>
      <c r="DP16" s="7"/>
      <c r="DQ16" s="7"/>
      <c r="DR16" s="7"/>
      <c r="DS16" s="7"/>
      <c r="DT16" s="7"/>
      <c r="DU16" s="7"/>
      <c r="DV16" s="7"/>
      <c r="DW16" s="7"/>
      <c r="DX16" s="7"/>
      <c r="DY16" s="7"/>
      <c r="DZ16" s="7"/>
      <c r="EA16" s="7"/>
      <c r="EB16" s="7"/>
      <c r="EC16" s="7"/>
      <c r="ED16" s="7"/>
      <c r="EE16" s="7"/>
      <c r="EF16" s="7"/>
      <c r="EG16" s="7"/>
      <c r="EH16" s="7"/>
      <c r="EI16" s="7"/>
      <c r="EJ16" s="7"/>
      <c r="EK16" s="7"/>
      <c r="EL16" s="7"/>
      <c r="EM16" s="7"/>
      <c r="EN16" s="7"/>
      <c r="EO16" s="7"/>
      <c r="EP16" s="7"/>
      <c r="EQ16" s="7"/>
      <c r="ER16" s="7"/>
      <c r="ES16" s="7"/>
      <c r="ET16" s="7"/>
      <c r="EU16" s="7"/>
      <c r="EV16" s="7"/>
      <c r="EW16" s="7"/>
      <c r="EX16" s="7"/>
      <c r="EY16" s="7"/>
      <c r="EZ16" s="7"/>
      <c r="FA16" s="7"/>
      <c r="FB16" s="7"/>
      <c r="FC16" s="7"/>
      <c r="FD16" s="7"/>
      <c r="FE16" s="7"/>
      <c r="FF16" s="7"/>
      <c r="FG16" s="7"/>
      <c r="FH16" s="7"/>
      <c r="FI16" s="7"/>
      <c r="FJ16" s="7"/>
      <c r="FK16" s="7"/>
      <c r="FL16" s="7"/>
      <c r="FM16" s="7"/>
      <c r="FN16" s="7"/>
      <c r="FO16" s="7"/>
      <c r="FP16" s="7"/>
      <c r="FQ16" s="7"/>
      <c r="FR16" s="7"/>
      <c r="FS16" s="7"/>
      <c r="FT16" s="7"/>
      <c r="FU16" s="7"/>
      <c r="FV16" s="7"/>
      <c r="FW16" s="7"/>
      <c r="FX16" s="7"/>
      <c r="FY16" s="7"/>
      <c r="FZ16" s="7"/>
      <c r="GA16" s="7"/>
      <c r="GB16" s="7"/>
      <c r="GC16" s="7"/>
      <c r="GD16" s="7"/>
      <c r="GE16" s="7"/>
      <c r="GF16" s="7"/>
      <c r="GG16" s="7"/>
      <c r="GH16" s="7"/>
      <c r="GI16" s="7"/>
      <c r="GJ16" s="7"/>
      <c r="GK16" s="7"/>
      <c r="GL16" s="7"/>
      <c r="GM16" s="7"/>
      <c r="GN16" s="7"/>
      <c r="GO16" s="7"/>
      <c r="GP16" s="7"/>
      <c r="GQ16" s="7"/>
      <c r="GR16" s="7"/>
      <c r="GS16" s="7"/>
      <c r="GT16" s="7"/>
      <c r="GU16" s="7"/>
      <c r="GV16" s="7"/>
      <c r="GW16" s="7"/>
      <c r="GX16" s="7"/>
      <c r="GY16" s="7"/>
      <c r="GZ16" s="7"/>
      <c r="HA16" s="7"/>
      <c r="HB16" s="7"/>
      <c r="HC16" s="7"/>
      <c r="HD16" s="7"/>
      <c r="HE16" s="7"/>
      <c r="HF16" s="7"/>
      <c r="HG16" s="7"/>
      <c r="HH16" s="7"/>
      <c r="HI16" s="7"/>
      <c r="HJ16" s="7"/>
      <c r="HK16" s="7"/>
      <c r="HL16" s="7"/>
      <c r="HM16" s="7"/>
      <c r="HN16" s="7"/>
      <c r="HO16" s="7"/>
      <c r="HP16" s="7"/>
      <c r="HQ16" s="7"/>
      <c r="HR16" s="7"/>
      <c r="HS16" s="7"/>
      <c r="HT16" s="7"/>
      <c r="HU16" s="7"/>
      <c r="HV16" s="7"/>
      <c r="HW16" s="7"/>
      <c r="HX16" s="7"/>
      <c r="HY16" s="7"/>
      <c r="HZ16" s="7"/>
      <c r="IA16" s="7"/>
      <c r="IB16" s="7"/>
      <c r="IC16" s="7"/>
      <c r="ID16" s="7"/>
      <c r="IE16" s="7"/>
      <c r="IF16" s="7"/>
      <c r="IG16" s="7"/>
      <c r="IH16" s="7"/>
      <c r="II16" s="7"/>
      <c r="IJ16" s="7"/>
      <c r="IK16" s="7"/>
      <c r="IL16" s="7"/>
      <c r="IM16" s="7"/>
      <c r="IN16" s="7"/>
      <c r="IO16" s="7"/>
      <c r="IP16" s="7"/>
      <c r="IQ16" s="7"/>
      <c r="IR16" s="7"/>
      <c r="IS16" s="7"/>
      <c r="IT16" s="7"/>
      <c r="IU16" s="7"/>
      <c r="IV16" s="7"/>
    </row>
    <row r="17" spans="1:256" s="8" customFormat="1" ht="25.5" customHeight="1" x14ac:dyDescent="0.2">
      <c r="A17" s="222" t="str">
        <f>IF(Eingabe!A121="","",Eingabe!A121)</f>
        <v/>
      </c>
      <c r="B17" s="145"/>
      <c r="C17" s="145"/>
      <c r="D17" s="145"/>
      <c r="E17" s="145" t="str">
        <f>IF(Eingabe!B121="","",Eingabe!B121)</f>
        <v/>
      </c>
      <c r="F17" s="145"/>
      <c r="G17" s="145"/>
      <c r="H17" s="145"/>
      <c r="I17" s="137" t="str">
        <f>IF(Eingabe!C121="","",Eingabe!C121)</f>
        <v/>
      </c>
      <c r="J17" s="137"/>
      <c r="K17" s="137"/>
      <c r="L17" s="137"/>
      <c r="M17" s="232" t="str">
        <f>IF(Eingabe!D121&amp;""&amp;Eingabe!E121="","",Eingabe!D121&amp;" 
"&amp;Eingabe!E121)</f>
        <v/>
      </c>
      <c r="N17" s="232"/>
      <c r="O17" s="232"/>
      <c r="P17" s="232"/>
      <c r="Q17" s="232"/>
      <c r="R17" s="232"/>
      <c r="S17" s="232"/>
      <c r="T17" s="232"/>
      <c r="U17" s="232"/>
      <c r="V17" s="232"/>
      <c r="W17" s="232"/>
      <c r="X17" s="232"/>
      <c r="Y17" s="232"/>
      <c r="Z17" s="232"/>
      <c r="AA17" s="232"/>
      <c r="AB17" s="232"/>
      <c r="AC17" s="232"/>
      <c r="AD17" s="232"/>
      <c r="AE17" s="232"/>
      <c r="AF17" s="232"/>
      <c r="AG17" s="137" t="str">
        <f>IF(Eingabe!F121&amp;""&amp;Eingabe!G121="","",Eingabe!F121&amp;" 
"&amp;Eingabe!G121)</f>
        <v/>
      </c>
      <c r="AH17" s="137"/>
      <c r="AI17" s="137"/>
      <c r="AJ17" s="137"/>
      <c r="AK17" s="137"/>
      <c r="AL17" s="137"/>
      <c r="AM17" s="137"/>
      <c r="AN17" s="137"/>
      <c r="AO17" s="137"/>
      <c r="AP17" s="137"/>
      <c r="AQ17" s="137"/>
      <c r="AR17" s="137"/>
      <c r="AS17" s="137"/>
      <c r="AT17" s="137"/>
      <c r="AU17" s="137"/>
      <c r="AV17" s="137"/>
      <c r="AW17" s="137"/>
      <c r="AX17" s="137" t="str">
        <f>IF(Eingabe!H121="","",Eingabe!H121)</f>
        <v/>
      </c>
      <c r="AY17" s="137"/>
      <c r="AZ17" s="137"/>
      <c r="BA17" s="137"/>
      <c r="BB17" s="137" t="str">
        <f>IF(Eingabe!K121="","",Eingabe!K121)</f>
        <v/>
      </c>
      <c r="BC17" s="137"/>
      <c r="BD17" s="137"/>
      <c r="BE17" s="137"/>
      <c r="BF17" s="137"/>
      <c r="BG17" s="137"/>
      <c r="BH17" s="137"/>
      <c r="BI17" s="137"/>
      <c r="BJ17" s="137"/>
      <c r="BK17" s="137"/>
      <c r="BL17" s="137"/>
      <c r="BM17" s="137"/>
      <c r="BN17" s="138"/>
      <c r="BO17" s="7"/>
      <c r="BP17" s="7"/>
      <c r="BQ17" s="7"/>
      <c r="BR17" s="7"/>
      <c r="BS17" s="7"/>
      <c r="BT17" s="7"/>
      <c r="BU17" s="7"/>
      <c r="BV17" s="7"/>
      <c r="BW17" s="7"/>
      <c r="BX17" s="7"/>
      <c r="BY17" s="7"/>
      <c r="BZ17" s="7"/>
      <c r="CA17" s="7"/>
      <c r="CB17" s="7"/>
      <c r="CC17" s="7"/>
      <c r="CD17" s="7"/>
      <c r="CE17" s="7"/>
      <c r="CF17" s="7"/>
      <c r="CG17" s="7"/>
      <c r="CH17" s="7"/>
      <c r="CI17" s="7"/>
      <c r="CJ17" s="7"/>
      <c r="CK17" s="7"/>
      <c r="CL17" s="7"/>
      <c r="CM17" s="7"/>
      <c r="CN17" s="7"/>
      <c r="CO17" s="7"/>
      <c r="CP17" s="7"/>
      <c r="CQ17" s="7"/>
      <c r="CR17" s="7"/>
      <c r="CS17" s="7"/>
      <c r="CT17" s="7"/>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c r="IM17" s="7"/>
      <c r="IN17" s="7"/>
      <c r="IO17" s="7"/>
      <c r="IP17" s="7"/>
      <c r="IQ17" s="7"/>
      <c r="IR17" s="7"/>
      <c r="IS17" s="7"/>
      <c r="IT17" s="7"/>
      <c r="IU17" s="7"/>
      <c r="IV17" s="7"/>
    </row>
    <row r="18" spans="1:256" s="8" customFormat="1" ht="25.5" customHeight="1" x14ac:dyDescent="0.2">
      <c r="A18" s="222" t="str">
        <f>IF(Eingabe!A122="","",Eingabe!A122)</f>
        <v/>
      </c>
      <c r="B18" s="145"/>
      <c r="C18" s="145"/>
      <c r="D18" s="145"/>
      <c r="E18" s="145" t="str">
        <f>IF(Eingabe!B122="","",Eingabe!B122)</f>
        <v/>
      </c>
      <c r="F18" s="145"/>
      <c r="G18" s="145"/>
      <c r="H18" s="145"/>
      <c r="I18" s="137" t="str">
        <f>IF(Eingabe!C122="","",Eingabe!C122)</f>
        <v/>
      </c>
      <c r="J18" s="137"/>
      <c r="K18" s="137"/>
      <c r="L18" s="137"/>
      <c r="M18" s="232" t="str">
        <f>IF(Eingabe!D122&amp;""&amp;Eingabe!E122="","",Eingabe!D122&amp;" 
"&amp;Eingabe!E122)</f>
        <v/>
      </c>
      <c r="N18" s="232"/>
      <c r="O18" s="232"/>
      <c r="P18" s="232"/>
      <c r="Q18" s="232"/>
      <c r="R18" s="232"/>
      <c r="S18" s="232"/>
      <c r="T18" s="232"/>
      <c r="U18" s="232"/>
      <c r="V18" s="232"/>
      <c r="W18" s="232"/>
      <c r="X18" s="232"/>
      <c r="Y18" s="232"/>
      <c r="Z18" s="232"/>
      <c r="AA18" s="232"/>
      <c r="AB18" s="232"/>
      <c r="AC18" s="232"/>
      <c r="AD18" s="232"/>
      <c r="AE18" s="232"/>
      <c r="AF18" s="232"/>
      <c r="AG18" s="137" t="str">
        <f>IF(Eingabe!F122&amp;""&amp;Eingabe!G122="","",Eingabe!F122&amp;" 
"&amp;Eingabe!G122)</f>
        <v/>
      </c>
      <c r="AH18" s="137"/>
      <c r="AI18" s="137"/>
      <c r="AJ18" s="137"/>
      <c r="AK18" s="137"/>
      <c r="AL18" s="137"/>
      <c r="AM18" s="137"/>
      <c r="AN18" s="137"/>
      <c r="AO18" s="137"/>
      <c r="AP18" s="137"/>
      <c r="AQ18" s="137"/>
      <c r="AR18" s="137"/>
      <c r="AS18" s="137"/>
      <c r="AT18" s="137"/>
      <c r="AU18" s="137"/>
      <c r="AV18" s="137"/>
      <c r="AW18" s="137"/>
      <c r="AX18" s="137" t="str">
        <f>IF(Eingabe!H122="","",Eingabe!H122)</f>
        <v/>
      </c>
      <c r="AY18" s="137"/>
      <c r="AZ18" s="137"/>
      <c r="BA18" s="137"/>
      <c r="BB18" s="137" t="str">
        <f>IF(Eingabe!K122="","",Eingabe!K122)</f>
        <v/>
      </c>
      <c r="BC18" s="137"/>
      <c r="BD18" s="137"/>
      <c r="BE18" s="137"/>
      <c r="BF18" s="137"/>
      <c r="BG18" s="137"/>
      <c r="BH18" s="137"/>
      <c r="BI18" s="137"/>
      <c r="BJ18" s="137"/>
      <c r="BK18" s="137"/>
      <c r="BL18" s="137"/>
      <c r="BM18" s="137"/>
      <c r="BN18" s="138"/>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c r="IM18" s="7"/>
      <c r="IN18" s="7"/>
      <c r="IO18" s="7"/>
      <c r="IP18" s="7"/>
      <c r="IQ18" s="7"/>
      <c r="IR18" s="7"/>
      <c r="IS18" s="7"/>
      <c r="IT18" s="7"/>
      <c r="IU18" s="7"/>
      <c r="IV18" s="7"/>
    </row>
    <row r="19" spans="1:256" s="8" customFormat="1" ht="25.5" customHeight="1" x14ac:dyDescent="0.2">
      <c r="A19" s="222" t="str">
        <f>IF(Eingabe!A123="","",Eingabe!A123)</f>
        <v/>
      </c>
      <c r="B19" s="145"/>
      <c r="C19" s="145"/>
      <c r="D19" s="145"/>
      <c r="E19" s="145" t="str">
        <f>IF(Eingabe!B123="","",Eingabe!B123)</f>
        <v/>
      </c>
      <c r="F19" s="145"/>
      <c r="G19" s="145"/>
      <c r="H19" s="145"/>
      <c r="I19" s="137" t="str">
        <f>IF(Eingabe!C123="","",Eingabe!C123)</f>
        <v/>
      </c>
      <c r="J19" s="137"/>
      <c r="K19" s="137"/>
      <c r="L19" s="137"/>
      <c r="M19" s="232" t="str">
        <f>IF(Eingabe!D123&amp;""&amp;Eingabe!E123="","",Eingabe!D123&amp;" 
"&amp;Eingabe!E123)</f>
        <v/>
      </c>
      <c r="N19" s="232"/>
      <c r="O19" s="232"/>
      <c r="P19" s="232"/>
      <c r="Q19" s="232"/>
      <c r="R19" s="232"/>
      <c r="S19" s="232"/>
      <c r="T19" s="232"/>
      <c r="U19" s="232"/>
      <c r="V19" s="232"/>
      <c r="W19" s="232"/>
      <c r="X19" s="232"/>
      <c r="Y19" s="232"/>
      <c r="Z19" s="232"/>
      <c r="AA19" s="232"/>
      <c r="AB19" s="232"/>
      <c r="AC19" s="232"/>
      <c r="AD19" s="232"/>
      <c r="AE19" s="232"/>
      <c r="AF19" s="232"/>
      <c r="AG19" s="137" t="str">
        <f>IF(Eingabe!F123&amp;""&amp;Eingabe!G123="","",Eingabe!F123&amp;" 
"&amp;Eingabe!G123)</f>
        <v/>
      </c>
      <c r="AH19" s="137"/>
      <c r="AI19" s="137"/>
      <c r="AJ19" s="137"/>
      <c r="AK19" s="137"/>
      <c r="AL19" s="137"/>
      <c r="AM19" s="137"/>
      <c r="AN19" s="137"/>
      <c r="AO19" s="137"/>
      <c r="AP19" s="137"/>
      <c r="AQ19" s="137"/>
      <c r="AR19" s="137"/>
      <c r="AS19" s="137"/>
      <c r="AT19" s="137"/>
      <c r="AU19" s="137"/>
      <c r="AV19" s="137"/>
      <c r="AW19" s="137"/>
      <c r="AX19" s="137" t="str">
        <f>IF(Eingabe!H123="","",Eingabe!H123)</f>
        <v/>
      </c>
      <c r="AY19" s="137"/>
      <c r="AZ19" s="137"/>
      <c r="BA19" s="137"/>
      <c r="BB19" s="137" t="str">
        <f>IF(Eingabe!K123="","",Eingabe!K123)</f>
        <v/>
      </c>
      <c r="BC19" s="137"/>
      <c r="BD19" s="137"/>
      <c r="BE19" s="137"/>
      <c r="BF19" s="137"/>
      <c r="BG19" s="137"/>
      <c r="BH19" s="137"/>
      <c r="BI19" s="137"/>
      <c r="BJ19" s="137"/>
      <c r="BK19" s="137"/>
      <c r="BL19" s="137"/>
      <c r="BM19" s="137"/>
      <c r="BN19" s="138"/>
      <c r="BO19" s="7"/>
      <c r="BP19" s="7"/>
      <c r="BQ19" s="7"/>
      <c r="BR19" s="7"/>
      <c r="BS19" s="7"/>
      <c r="BT19" s="7"/>
      <c r="BU19" s="7"/>
      <c r="BV19" s="7"/>
      <c r="BW19" s="7"/>
      <c r="BX19" s="7"/>
      <c r="BY19" s="7"/>
      <c r="BZ19" s="7"/>
      <c r="CA19" s="7"/>
      <c r="CB19" s="7"/>
      <c r="CC19" s="7"/>
      <c r="CD19" s="7"/>
      <c r="CE19" s="7"/>
      <c r="CF19" s="7"/>
      <c r="CG19" s="7"/>
      <c r="CH19" s="7"/>
      <c r="CI19" s="7"/>
      <c r="CJ19" s="7"/>
      <c r="CK19" s="7"/>
      <c r="CL19" s="7"/>
      <c r="CM19" s="7"/>
      <c r="CN19" s="7"/>
      <c r="CO19" s="7"/>
      <c r="CP19" s="7"/>
      <c r="CQ19" s="7"/>
      <c r="CR19" s="7"/>
      <c r="CS19" s="7"/>
      <c r="CT19" s="7"/>
      <c r="CU19" s="7"/>
      <c r="CV19" s="7"/>
      <c r="CW19" s="7"/>
      <c r="CX19" s="7"/>
      <c r="CY19" s="7"/>
      <c r="CZ19" s="7"/>
      <c r="DA19" s="7"/>
      <c r="DB19" s="7"/>
      <c r="DC19" s="7"/>
      <c r="DD19" s="7"/>
      <c r="DE19" s="7"/>
      <c r="DF19" s="7"/>
      <c r="DG19" s="7"/>
      <c r="DH19" s="7"/>
      <c r="DI19" s="7"/>
      <c r="DJ19" s="7"/>
      <c r="DK19" s="7"/>
      <c r="DL19" s="7"/>
      <c r="DM19" s="7"/>
      <c r="DN19" s="7"/>
      <c r="DO19" s="7"/>
      <c r="DP19" s="7"/>
      <c r="DQ19" s="7"/>
      <c r="DR19" s="7"/>
      <c r="DS19" s="7"/>
      <c r="DT19" s="7"/>
      <c r="DU19" s="7"/>
      <c r="DV19" s="7"/>
      <c r="DW19" s="7"/>
      <c r="DX19" s="7"/>
      <c r="DY19" s="7"/>
      <c r="DZ19" s="7"/>
      <c r="EA19" s="7"/>
      <c r="EB19" s="7"/>
      <c r="EC19" s="7"/>
      <c r="ED19" s="7"/>
      <c r="EE19" s="7"/>
      <c r="EF19" s="7"/>
      <c r="EG19" s="7"/>
      <c r="EH19" s="7"/>
      <c r="EI19" s="7"/>
      <c r="EJ19" s="7"/>
      <c r="EK19" s="7"/>
      <c r="EL19" s="7"/>
      <c r="EM19" s="7"/>
      <c r="EN19" s="7"/>
      <c r="EO19" s="7"/>
      <c r="EP19" s="7"/>
      <c r="EQ19" s="7"/>
      <c r="ER19" s="7"/>
      <c r="ES19" s="7"/>
      <c r="ET19" s="7"/>
      <c r="EU19" s="7"/>
      <c r="EV19" s="7"/>
      <c r="EW19" s="7"/>
      <c r="EX19" s="7"/>
      <c r="EY19" s="7"/>
      <c r="EZ19" s="7"/>
      <c r="FA19" s="7"/>
      <c r="FB19" s="7"/>
      <c r="FC19" s="7"/>
      <c r="FD19" s="7"/>
      <c r="FE19" s="7"/>
      <c r="FF19" s="7"/>
      <c r="FG19" s="7"/>
      <c r="FH19" s="7"/>
      <c r="FI19" s="7"/>
      <c r="FJ19" s="7"/>
      <c r="FK19" s="7"/>
      <c r="FL19" s="7"/>
      <c r="FM19" s="7"/>
      <c r="FN19" s="7"/>
      <c r="FO19" s="7"/>
      <c r="FP19" s="7"/>
      <c r="FQ19" s="7"/>
      <c r="FR19" s="7"/>
      <c r="FS19" s="7"/>
      <c r="FT19" s="7"/>
      <c r="FU19" s="7"/>
      <c r="FV19" s="7"/>
      <c r="FW19" s="7"/>
      <c r="FX19" s="7"/>
      <c r="FY19" s="7"/>
      <c r="FZ19" s="7"/>
      <c r="GA19" s="7"/>
      <c r="GB19" s="7"/>
      <c r="GC19" s="7"/>
      <c r="GD19" s="7"/>
      <c r="GE19" s="7"/>
      <c r="GF19" s="7"/>
      <c r="GG19" s="7"/>
      <c r="GH19" s="7"/>
      <c r="GI19" s="7"/>
      <c r="GJ19" s="7"/>
      <c r="GK19" s="7"/>
      <c r="GL19" s="7"/>
      <c r="GM19" s="7"/>
      <c r="GN19" s="7"/>
      <c r="GO19" s="7"/>
      <c r="GP19" s="7"/>
      <c r="GQ19" s="7"/>
      <c r="GR19" s="7"/>
      <c r="GS19" s="7"/>
      <c r="GT19" s="7"/>
      <c r="GU19" s="7"/>
      <c r="GV19" s="7"/>
      <c r="GW19" s="7"/>
      <c r="GX19" s="7"/>
      <c r="GY19" s="7"/>
      <c r="GZ19" s="7"/>
      <c r="HA19" s="7"/>
      <c r="HB19" s="7"/>
      <c r="HC19" s="7"/>
      <c r="HD19" s="7"/>
      <c r="HE19" s="7"/>
      <c r="HF19" s="7"/>
      <c r="HG19" s="7"/>
      <c r="HH19" s="7"/>
      <c r="HI19" s="7"/>
      <c r="HJ19" s="7"/>
      <c r="HK19" s="7"/>
      <c r="HL19" s="7"/>
      <c r="HM19" s="7"/>
      <c r="HN19" s="7"/>
      <c r="HO19" s="7"/>
      <c r="HP19" s="7"/>
      <c r="HQ19" s="7"/>
      <c r="HR19" s="7"/>
      <c r="HS19" s="7"/>
      <c r="HT19" s="7"/>
      <c r="HU19" s="7"/>
      <c r="HV19" s="7"/>
      <c r="HW19" s="7"/>
      <c r="HX19" s="7"/>
      <c r="HY19" s="7"/>
      <c r="HZ19" s="7"/>
      <c r="IA19" s="7"/>
      <c r="IB19" s="7"/>
      <c r="IC19" s="7"/>
      <c r="ID19" s="7"/>
      <c r="IE19" s="7"/>
      <c r="IF19" s="7"/>
      <c r="IG19" s="7"/>
      <c r="IH19" s="7"/>
      <c r="II19" s="7"/>
      <c r="IJ19" s="7"/>
      <c r="IK19" s="7"/>
      <c r="IL19" s="7"/>
      <c r="IM19" s="7"/>
      <c r="IN19" s="7"/>
      <c r="IO19" s="7"/>
      <c r="IP19" s="7"/>
      <c r="IQ19" s="7"/>
      <c r="IR19" s="7"/>
      <c r="IS19" s="7"/>
      <c r="IT19" s="7"/>
      <c r="IU19" s="7"/>
      <c r="IV19" s="7"/>
    </row>
    <row r="20" spans="1:256" s="8" customFormat="1" ht="25.5" customHeight="1" x14ac:dyDescent="0.2">
      <c r="A20" s="222" t="str">
        <f>IF(Eingabe!A124="","",Eingabe!A124)</f>
        <v/>
      </c>
      <c r="B20" s="145"/>
      <c r="C20" s="145"/>
      <c r="D20" s="145"/>
      <c r="E20" s="145" t="str">
        <f>IF(Eingabe!B124="","",Eingabe!B124)</f>
        <v/>
      </c>
      <c r="F20" s="145"/>
      <c r="G20" s="145"/>
      <c r="H20" s="145"/>
      <c r="I20" s="137" t="str">
        <f>IF(Eingabe!C124="","",Eingabe!C124)</f>
        <v/>
      </c>
      <c r="J20" s="137"/>
      <c r="K20" s="137"/>
      <c r="L20" s="137"/>
      <c r="M20" s="232" t="str">
        <f>IF(Eingabe!D124&amp;""&amp;Eingabe!E124="","",Eingabe!D124&amp;" 
"&amp;Eingabe!E124)</f>
        <v/>
      </c>
      <c r="N20" s="232"/>
      <c r="O20" s="232"/>
      <c r="P20" s="232"/>
      <c r="Q20" s="232"/>
      <c r="R20" s="232"/>
      <c r="S20" s="232"/>
      <c r="T20" s="232"/>
      <c r="U20" s="232"/>
      <c r="V20" s="232"/>
      <c r="W20" s="232"/>
      <c r="X20" s="232"/>
      <c r="Y20" s="232"/>
      <c r="Z20" s="232"/>
      <c r="AA20" s="232"/>
      <c r="AB20" s="232"/>
      <c r="AC20" s="232"/>
      <c r="AD20" s="232"/>
      <c r="AE20" s="232"/>
      <c r="AF20" s="232"/>
      <c r="AG20" s="137" t="str">
        <f>IF(Eingabe!F124&amp;""&amp;Eingabe!G124="","",Eingabe!F124&amp;" 
"&amp;Eingabe!G124)</f>
        <v/>
      </c>
      <c r="AH20" s="137"/>
      <c r="AI20" s="137"/>
      <c r="AJ20" s="137"/>
      <c r="AK20" s="137"/>
      <c r="AL20" s="137"/>
      <c r="AM20" s="137"/>
      <c r="AN20" s="137"/>
      <c r="AO20" s="137"/>
      <c r="AP20" s="137"/>
      <c r="AQ20" s="137"/>
      <c r="AR20" s="137"/>
      <c r="AS20" s="137"/>
      <c r="AT20" s="137"/>
      <c r="AU20" s="137"/>
      <c r="AV20" s="137"/>
      <c r="AW20" s="137"/>
      <c r="AX20" s="137" t="str">
        <f>IF(Eingabe!H124="","",Eingabe!H124)</f>
        <v/>
      </c>
      <c r="AY20" s="137"/>
      <c r="AZ20" s="137"/>
      <c r="BA20" s="137"/>
      <c r="BB20" s="137" t="str">
        <f>IF(Eingabe!K124="","",Eingabe!K124)</f>
        <v/>
      </c>
      <c r="BC20" s="137"/>
      <c r="BD20" s="137"/>
      <c r="BE20" s="137"/>
      <c r="BF20" s="137"/>
      <c r="BG20" s="137"/>
      <c r="BH20" s="137"/>
      <c r="BI20" s="137"/>
      <c r="BJ20" s="137"/>
      <c r="BK20" s="137"/>
      <c r="BL20" s="137"/>
      <c r="BM20" s="137"/>
      <c r="BN20" s="138"/>
      <c r="BO20" s="7"/>
      <c r="BP20" s="7"/>
      <c r="BQ20" s="7"/>
      <c r="BR20" s="7"/>
      <c r="BS20" s="7"/>
      <c r="BT20" s="7"/>
      <c r="BU20" s="7"/>
      <c r="BV20" s="7"/>
      <c r="BW20" s="7"/>
      <c r="BX20" s="7"/>
      <c r="BY20" s="7"/>
      <c r="BZ20" s="7"/>
      <c r="CA20" s="7"/>
      <c r="CB20" s="7"/>
      <c r="CC20" s="7"/>
      <c r="CD20" s="7"/>
      <c r="CE20" s="7"/>
      <c r="CF20" s="7"/>
      <c r="CG20" s="7"/>
      <c r="CH20" s="7"/>
      <c r="CI20" s="7"/>
      <c r="CJ20" s="7"/>
      <c r="CK20" s="7"/>
      <c r="CL20" s="7"/>
      <c r="CM20" s="7"/>
      <c r="CN20" s="7"/>
      <c r="CO20" s="7"/>
      <c r="CP20" s="7"/>
      <c r="CQ20" s="7"/>
      <c r="CR20" s="7"/>
      <c r="CS20" s="7"/>
      <c r="CT20" s="7"/>
      <c r="CU20" s="7"/>
      <c r="CV20" s="7"/>
      <c r="CW20" s="7"/>
      <c r="CX20" s="7"/>
      <c r="CY20" s="7"/>
      <c r="CZ20" s="7"/>
      <c r="DA20" s="7"/>
      <c r="DB20" s="7"/>
      <c r="DC20" s="7"/>
      <c r="DD20" s="7"/>
      <c r="DE20" s="7"/>
      <c r="DF20" s="7"/>
      <c r="DG20" s="7"/>
      <c r="DH20" s="7"/>
      <c r="DI20" s="7"/>
      <c r="DJ20" s="7"/>
      <c r="DK20" s="7"/>
      <c r="DL20" s="7"/>
      <c r="DM20" s="7"/>
      <c r="DN20" s="7"/>
      <c r="DO20" s="7"/>
      <c r="DP20" s="7"/>
      <c r="DQ20" s="7"/>
      <c r="DR20" s="7"/>
      <c r="DS20" s="7"/>
      <c r="DT20" s="7"/>
      <c r="DU20" s="7"/>
      <c r="DV20" s="7"/>
      <c r="DW20" s="7"/>
      <c r="DX20" s="7"/>
      <c r="DY20" s="7"/>
      <c r="DZ20" s="7"/>
      <c r="EA20" s="7"/>
      <c r="EB20" s="7"/>
      <c r="EC20" s="7"/>
      <c r="ED20" s="7"/>
      <c r="EE20" s="7"/>
      <c r="EF20" s="7"/>
      <c r="EG20" s="7"/>
      <c r="EH20" s="7"/>
      <c r="EI20" s="7"/>
      <c r="EJ20" s="7"/>
      <c r="EK20" s="7"/>
      <c r="EL20" s="7"/>
      <c r="EM20" s="7"/>
      <c r="EN20" s="7"/>
      <c r="EO20" s="7"/>
      <c r="EP20" s="7"/>
      <c r="EQ20" s="7"/>
      <c r="ER20" s="7"/>
      <c r="ES20" s="7"/>
      <c r="ET20" s="7"/>
      <c r="EU20" s="7"/>
      <c r="EV20" s="7"/>
      <c r="EW20" s="7"/>
      <c r="EX20" s="7"/>
      <c r="EY20" s="7"/>
      <c r="EZ20" s="7"/>
      <c r="FA20" s="7"/>
      <c r="FB20" s="7"/>
      <c r="FC20" s="7"/>
      <c r="FD20" s="7"/>
      <c r="FE20" s="7"/>
      <c r="FF20" s="7"/>
      <c r="FG20" s="7"/>
      <c r="FH20" s="7"/>
      <c r="FI20" s="7"/>
      <c r="FJ20" s="7"/>
      <c r="FK20" s="7"/>
      <c r="FL20" s="7"/>
      <c r="FM20" s="7"/>
      <c r="FN20" s="7"/>
      <c r="FO20" s="7"/>
      <c r="FP20" s="7"/>
      <c r="FQ20" s="7"/>
      <c r="FR20" s="7"/>
      <c r="FS20" s="7"/>
      <c r="FT20" s="7"/>
      <c r="FU20" s="7"/>
      <c r="FV20" s="7"/>
      <c r="FW20" s="7"/>
      <c r="FX20" s="7"/>
      <c r="FY20" s="7"/>
      <c r="FZ20" s="7"/>
      <c r="GA20" s="7"/>
      <c r="GB20" s="7"/>
      <c r="GC20" s="7"/>
      <c r="GD20" s="7"/>
      <c r="GE20" s="7"/>
      <c r="GF20" s="7"/>
      <c r="GG20" s="7"/>
      <c r="GH20" s="7"/>
      <c r="GI20" s="7"/>
      <c r="GJ20" s="7"/>
      <c r="GK20" s="7"/>
      <c r="GL20" s="7"/>
      <c r="GM20" s="7"/>
      <c r="GN20" s="7"/>
      <c r="GO20" s="7"/>
      <c r="GP20" s="7"/>
      <c r="GQ20" s="7"/>
      <c r="GR20" s="7"/>
      <c r="GS20" s="7"/>
      <c r="GT20" s="7"/>
      <c r="GU20" s="7"/>
      <c r="GV20" s="7"/>
      <c r="GW20" s="7"/>
      <c r="GX20" s="7"/>
      <c r="GY20" s="7"/>
      <c r="GZ20" s="7"/>
      <c r="HA20" s="7"/>
      <c r="HB20" s="7"/>
      <c r="HC20" s="7"/>
      <c r="HD20" s="7"/>
      <c r="HE20" s="7"/>
      <c r="HF20" s="7"/>
      <c r="HG20" s="7"/>
      <c r="HH20" s="7"/>
      <c r="HI20" s="7"/>
      <c r="HJ20" s="7"/>
      <c r="HK20" s="7"/>
      <c r="HL20" s="7"/>
      <c r="HM20" s="7"/>
      <c r="HN20" s="7"/>
      <c r="HO20" s="7"/>
      <c r="HP20" s="7"/>
      <c r="HQ20" s="7"/>
      <c r="HR20" s="7"/>
      <c r="HS20" s="7"/>
      <c r="HT20" s="7"/>
      <c r="HU20" s="7"/>
      <c r="HV20" s="7"/>
      <c r="HW20" s="7"/>
      <c r="HX20" s="7"/>
      <c r="HY20" s="7"/>
      <c r="HZ20" s="7"/>
      <c r="IA20" s="7"/>
      <c r="IB20" s="7"/>
      <c r="IC20" s="7"/>
      <c r="ID20" s="7"/>
      <c r="IE20" s="7"/>
      <c r="IF20" s="7"/>
      <c r="IG20" s="7"/>
      <c r="IH20" s="7"/>
      <c r="II20" s="7"/>
      <c r="IJ20" s="7"/>
      <c r="IK20" s="7"/>
      <c r="IL20" s="7"/>
      <c r="IM20" s="7"/>
      <c r="IN20" s="7"/>
      <c r="IO20" s="7"/>
      <c r="IP20" s="7"/>
      <c r="IQ20" s="7"/>
      <c r="IR20" s="7"/>
      <c r="IS20" s="7"/>
      <c r="IT20" s="7"/>
      <c r="IU20" s="7"/>
      <c r="IV20" s="7"/>
    </row>
    <row r="21" spans="1:256" s="8" customFormat="1" ht="25.5" customHeight="1" x14ac:dyDescent="0.2">
      <c r="A21" s="222" t="str">
        <f>IF(Eingabe!A125="","",Eingabe!A125)</f>
        <v/>
      </c>
      <c r="B21" s="145"/>
      <c r="C21" s="145"/>
      <c r="D21" s="145"/>
      <c r="E21" s="145" t="str">
        <f>IF(Eingabe!B125="","",Eingabe!B125)</f>
        <v/>
      </c>
      <c r="F21" s="145"/>
      <c r="G21" s="145"/>
      <c r="H21" s="145"/>
      <c r="I21" s="137" t="str">
        <f>IF(Eingabe!C125="","",Eingabe!C125)</f>
        <v/>
      </c>
      <c r="J21" s="137"/>
      <c r="K21" s="137"/>
      <c r="L21" s="137"/>
      <c r="M21" s="232" t="str">
        <f>IF(Eingabe!D125&amp;""&amp;Eingabe!E125="","",Eingabe!D125&amp;" 
"&amp;Eingabe!E125)</f>
        <v/>
      </c>
      <c r="N21" s="232"/>
      <c r="O21" s="232"/>
      <c r="P21" s="232"/>
      <c r="Q21" s="232"/>
      <c r="R21" s="232"/>
      <c r="S21" s="232"/>
      <c r="T21" s="232"/>
      <c r="U21" s="232"/>
      <c r="V21" s="232"/>
      <c r="W21" s="232"/>
      <c r="X21" s="232"/>
      <c r="Y21" s="232"/>
      <c r="Z21" s="232"/>
      <c r="AA21" s="232"/>
      <c r="AB21" s="232"/>
      <c r="AC21" s="232"/>
      <c r="AD21" s="232"/>
      <c r="AE21" s="232"/>
      <c r="AF21" s="232"/>
      <c r="AG21" s="137" t="str">
        <f>IF(Eingabe!F125&amp;""&amp;Eingabe!G125="","",Eingabe!F125&amp;" 
"&amp;Eingabe!G125)</f>
        <v/>
      </c>
      <c r="AH21" s="137"/>
      <c r="AI21" s="137"/>
      <c r="AJ21" s="137"/>
      <c r="AK21" s="137"/>
      <c r="AL21" s="137"/>
      <c r="AM21" s="137"/>
      <c r="AN21" s="137"/>
      <c r="AO21" s="137"/>
      <c r="AP21" s="137"/>
      <c r="AQ21" s="137"/>
      <c r="AR21" s="137"/>
      <c r="AS21" s="137"/>
      <c r="AT21" s="137"/>
      <c r="AU21" s="137"/>
      <c r="AV21" s="137"/>
      <c r="AW21" s="137"/>
      <c r="AX21" s="137" t="str">
        <f>IF(Eingabe!H125="","",Eingabe!H125)</f>
        <v/>
      </c>
      <c r="AY21" s="137"/>
      <c r="AZ21" s="137"/>
      <c r="BA21" s="137"/>
      <c r="BB21" s="137" t="str">
        <f>IF(Eingabe!K125="","",Eingabe!K125)</f>
        <v/>
      </c>
      <c r="BC21" s="137"/>
      <c r="BD21" s="137"/>
      <c r="BE21" s="137"/>
      <c r="BF21" s="137"/>
      <c r="BG21" s="137"/>
      <c r="BH21" s="137"/>
      <c r="BI21" s="137"/>
      <c r="BJ21" s="137"/>
      <c r="BK21" s="137"/>
      <c r="BL21" s="137"/>
      <c r="BM21" s="137"/>
      <c r="BN21" s="138"/>
      <c r="BO21" s="7"/>
      <c r="BP21" s="7"/>
      <c r="BQ21" s="7"/>
      <c r="BR21" s="7"/>
      <c r="BS21" s="7"/>
      <c r="BT21" s="7"/>
      <c r="BU21" s="7"/>
      <c r="BV21" s="7"/>
      <c r="BW21" s="7"/>
      <c r="BX21" s="7"/>
      <c r="BY21" s="7"/>
      <c r="BZ21" s="7"/>
      <c r="CA21" s="7"/>
      <c r="CB21" s="7"/>
      <c r="CC21" s="7"/>
      <c r="CD21" s="7"/>
      <c r="CE21" s="7"/>
      <c r="CF21" s="7"/>
      <c r="CG21" s="7"/>
      <c r="CH21" s="7"/>
      <c r="CI21" s="7"/>
      <c r="CJ21" s="7"/>
      <c r="CK21" s="7"/>
      <c r="CL21" s="7"/>
      <c r="CM21" s="7"/>
      <c r="CN21" s="7"/>
      <c r="CO21" s="7"/>
      <c r="CP21" s="7"/>
      <c r="CQ21" s="7"/>
      <c r="CR21" s="7"/>
      <c r="CS21" s="7"/>
      <c r="CT21" s="7"/>
      <c r="CU21" s="7"/>
      <c r="CV21" s="7"/>
      <c r="CW21" s="7"/>
      <c r="CX21" s="7"/>
      <c r="CY21" s="7"/>
      <c r="CZ21" s="7"/>
      <c r="DA21" s="7"/>
      <c r="DB21" s="7"/>
      <c r="DC21" s="7"/>
      <c r="DD21" s="7"/>
      <c r="DE21" s="7"/>
      <c r="DF21" s="7"/>
      <c r="DG21" s="7"/>
      <c r="DH21" s="7"/>
      <c r="DI21" s="7"/>
      <c r="DJ21" s="7"/>
      <c r="DK21" s="7"/>
      <c r="DL21" s="7"/>
      <c r="DM21" s="7"/>
      <c r="DN21" s="7"/>
      <c r="DO21" s="7"/>
      <c r="DP21" s="7"/>
      <c r="DQ21" s="7"/>
      <c r="DR21" s="7"/>
      <c r="DS21" s="7"/>
      <c r="DT21" s="7"/>
      <c r="DU21" s="7"/>
      <c r="DV21" s="7"/>
      <c r="DW21" s="7"/>
      <c r="DX21" s="7"/>
      <c r="DY21" s="7"/>
      <c r="DZ21" s="7"/>
      <c r="EA21" s="7"/>
      <c r="EB21" s="7"/>
      <c r="EC21" s="7"/>
      <c r="ED21" s="7"/>
      <c r="EE21" s="7"/>
      <c r="EF21" s="7"/>
      <c r="EG21" s="7"/>
      <c r="EH21" s="7"/>
      <c r="EI21" s="7"/>
      <c r="EJ21" s="7"/>
      <c r="EK21" s="7"/>
      <c r="EL21" s="7"/>
      <c r="EM21" s="7"/>
      <c r="EN21" s="7"/>
      <c r="EO21" s="7"/>
      <c r="EP21" s="7"/>
      <c r="EQ21" s="7"/>
      <c r="ER21" s="7"/>
      <c r="ES21" s="7"/>
      <c r="ET21" s="7"/>
      <c r="EU21" s="7"/>
      <c r="EV21" s="7"/>
      <c r="EW21" s="7"/>
      <c r="EX21" s="7"/>
      <c r="EY21" s="7"/>
      <c r="EZ21" s="7"/>
      <c r="FA21" s="7"/>
      <c r="FB21" s="7"/>
      <c r="FC21" s="7"/>
      <c r="FD21" s="7"/>
      <c r="FE21" s="7"/>
      <c r="FF21" s="7"/>
      <c r="FG21" s="7"/>
      <c r="FH21" s="7"/>
      <c r="FI21" s="7"/>
      <c r="FJ21" s="7"/>
      <c r="FK21" s="7"/>
      <c r="FL21" s="7"/>
      <c r="FM21" s="7"/>
      <c r="FN21" s="7"/>
      <c r="FO21" s="7"/>
      <c r="FP21" s="7"/>
      <c r="FQ21" s="7"/>
      <c r="FR21" s="7"/>
      <c r="FS21" s="7"/>
      <c r="FT21" s="7"/>
      <c r="FU21" s="7"/>
      <c r="FV21" s="7"/>
      <c r="FW21" s="7"/>
      <c r="FX21" s="7"/>
      <c r="FY21" s="7"/>
      <c r="FZ21" s="7"/>
      <c r="GA21" s="7"/>
      <c r="GB21" s="7"/>
      <c r="GC21" s="7"/>
      <c r="GD21" s="7"/>
      <c r="GE21" s="7"/>
      <c r="GF21" s="7"/>
      <c r="GG21" s="7"/>
      <c r="GH21" s="7"/>
      <c r="GI21" s="7"/>
      <c r="GJ21" s="7"/>
      <c r="GK21" s="7"/>
      <c r="GL21" s="7"/>
      <c r="GM21" s="7"/>
      <c r="GN21" s="7"/>
      <c r="GO21" s="7"/>
      <c r="GP21" s="7"/>
      <c r="GQ21" s="7"/>
      <c r="GR21" s="7"/>
      <c r="GS21" s="7"/>
      <c r="GT21" s="7"/>
      <c r="GU21" s="7"/>
      <c r="GV21" s="7"/>
      <c r="GW21" s="7"/>
      <c r="GX21" s="7"/>
      <c r="GY21" s="7"/>
      <c r="GZ21" s="7"/>
      <c r="HA21" s="7"/>
      <c r="HB21" s="7"/>
      <c r="HC21" s="7"/>
      <c r="HD21" s="7"/>
      <c r="HE21" s="7"/>
      <c r="HF21" s="7"/>
      <c r="HG21" s="7"/>
      <c r="HH21" s="7"/>
      <c r="HI21" s="7"/>
      <c r="HJ21" s="7"/>
      <c r="HK21" s="7"/>
      <c r="HL21" s="7"/>
      <c r="HM21" s="7"/>
      <c r="HN21" s="7"/>
      <c r="HO21" s="7"/>
      <c r="HP21" s="7"/>
      <c r="HQ21" s="7"/>
      <c r="HR21" s="7"/>
      <c r="HS21" s="7"/>
      <c r="HT21" s="7"/>
      <c r="HU21" s="7"/>
      <c r="HV21" s="7"/>
      <c r="HW21" s="7"/>
      <c r="HX21" s="7"/>
      <c r="HY21" s="7"/>
      <c r="HZ21" s="7"/>
      <c r="IA21" s="7"/>
      <c r="IB21" s="7"/>
      <c r="IC21" s="7"/>
      <c r="ID21" s="7"/>
      <c r="IE21" s="7"/>
      <c r="IF21" s="7"/>
      <c r="IG21" s="7"/>
      <c r="IH21" s="7"/>
      <c r="II21" s="7"/>
      <c r="IJ21" s="7"/>
      <c r="IK21" s="7"/>
      <c r="IL21" s="7"/>
      <c r="IM21" s="7"/>
      <c r="IN21" s="7"/>
      <c r="IO21" s="7"/>
      <c r="IP21" s="7"/>
      <c r="IQ21" s="7"/>
      <c r="IR21" s="7"/>
      <c r="IS21" s="7"/>
      <c r="IT21" s="7"/>
      <c r="IU21" s="7"/>
      <c r="IV21" s="7"/>
    </row>
    <row r="22" spans="1:256" s="8" customFormat="1" ht="25.5" customHeight="1" x14ac:dyDescent="0.2">
      <c r="A22" s="222" t="str">
        <f>IF(Eingabe!A126="","",Eingabe!A126)</f>
        <v/>
      </c>
      <c r="B22" s="145"/>
      <c r="C22" s="145"/>
      <c r="D22" s="145"/>
      <c r="E22" s="145" t="str">
        <f>IF(Eingabe!B126="","",Eingabe!B126)</f>
        <v/>
      </c>
      <c r="F22" s="145"/>
      <c r="G22" s="145"/>
      <c r="H22" s="145"/>
      <c r="I22" s="137" t="str">
        <f>IF(Eingabe!C126="","",Eingabe!C126)</f>
        <v/>
      </c>
      <c r="J22" s="137"/>
      <c r="K22" s="137"/>
      <c r="L22" s="137"/>
      <c r="M22" s="232" t="str">
        <f>IF(Eingabe!D126&amp;""&amp;Eingabe!E126="","",Eingabe!D126&amp;" 
"&amp;Eingabe!E126)</f>
        <v/>
      </c>
      <c r="N22" s="232"/>
      <c r="O22" s="232"/>
      <c r="P22" s="232"/>
      <c r="Q22" s="232"/>
      <c r="R22" s="232"/>
      <c r="S22" s="232"/>
      <c r="T22" s="232"/>
      <c r="U22" s="232"/>
      <c r="V22" s="232"/>
      <c r="W22" s="232"/>
      <c r="X22" s="232"/>
      <c r="Y22" s="232"/>
      <c r="Z22" s="232"/>
      <c r="AA22" s="232"/>
      <c r="AB22" s="232"/>
      <c r="AC22" s="232"/>
      <c r="AD22" s="232"/>
      <c r="AE22" s="232"/>
      <c r="AF22" s="232"/>
      <c r="AG22" s="137" t="str">
        <f>IF(Eingabe!F126&amp;""&amp;Eingabe!G126="","",Eingabe!F126&amp;" 
"&amp;Eingabe!G126)</f>
        <v/>
      </c>
      <c r="AH22" s="137"/>
      <c r="AI22" s="137"/>
      <c r="AJ22" s="137"/>
      <c r="AK22" s="137"/>
      <c r="AL22" s="137"/>
      <c r="AM22" s="137"/>
      <c r="AN22" s="137"/>
      <c r="AO22" s="137"/>
      <c r="AP22" s="137"/>
      <c r="AQ22" s="137"/>
      <c r="AR22" s="137"/>
      <c r="AS22" s="137"/>
      <c r="AT22" s="137"/>
      <c r="AU22" s="137"/>
      <c r="AV22" s="137"/>
      <c r="AW22" s="137"/>
      <c r="AX22" s="137" t="str">
        <f>IF(Eingabe!H126="","",Eingabe!H126)</f>
        <v/>
      </c>
      <c r="AY22" s="137"/>
      <c r="AZ22" s="137"/>
      <c r="BA22" s="137"/>
      <c r="BB22" s="137" t="str">
        <f>IF(Eingabe!K126="","",Eingabe!K126)</f>
        <v/>
      </c>
      <c r="BC22" s="137"/>
      <c r="BD22" s="137"/>
      <c r="BE22" s="137"/>
      <c r="BF22" s="137"/>
      <c r="BG22" s="137"/>
      <c r="BH22" s="137"/>
      <c r="BI22" s="137"/>
      <c r="BJ22" s="137"/>
      <c r="BK22" s="137"/>
      <c r="BL22" s="137"/>
      <c r="BM22" s="137"/>
      <c r="BN22" s="138"/>
      <c r="BO22" s="7"/>
      <c r="BP22" s="7"/>
      <c r="BQ22" s="7"/>
      <c r="BR22" s="7"/>
      <c r="BS22" s="7"/>
      <c r="BT22" s="7"/>
      <c r="BU22" s="7"/>
      <c r="BV22" s="7"/>
      <c r="BW22" s="7"/>
      <c r="BX22" s="7"/>
      <c r="BY22" s="7"/>
      <c r="BZ22" s="7"/>
      <c r="CA22" s="7"/>
      <c r="CB22" s="7"/>
      <c r="CC22" s="7"/>
      <c r="CD22" s="7"/>
      <c r="CE22" s="7"/>
      <c r="CF22" s="7"/>
      <c r="CG22" s="7"/>
      <c r="CH22" s="7"/>
      <c r="CI22" s="7"/>
      <c r="CJ22" s="7"/>
      <c r="CK22" s="7"/>
      <c r="CL22" s="7"/>
      <c r="CM22" s="7"/>
      <c r="CN22" s="7"/>
      <c r="CO22" s="7"/>
      <c r="CP22" s="7"/>
      <c r="CQ22" s="7"/>
      <c r="CR22" s="7"/>
      <c r="CS22" s="7"/>
      <c r="CT22" s="7"/>
      <c r="CU22" s="7"/>
      <c r="CV22" s="7"/>
      <c r="CW22" s="7"/>
      <c r="CX22" s="7"/>
      <c r="CY22" s="7"/>
      <c r="CZ22" s="7"/>
      <c r="DA22" s="7"/>
      <c r="DB22" s="7"/>
      <c r="DC22" s="7"/>
      <c r="DD22" s="7"/>
      <c r="DE22" s="7"/>
      <c r="DF22" s="7"/>
      <c r="DG22" s="7"/>
      <c r="DH22" s="7"/>
      <c r="DI22" s="7"/>
      <c r="DJ22" s="7"/>
      <c r="DK22" s="7"/>
      <c r="DL22" s="7"/>
      <c r="DM22" s="7"/>
      <c r="DN22" s="7"/>
      <c r="DO22" s="7"/>
      <c r="DP22" s="7"/>
      <c r="DQ22" s="7"/>
      <c r="DR22" s="7"/>
      <c r="DS22" s="7"/>
      <c r="DT22" s="7"/>
      <c r="DU22" s="7"/>
      <c r="DV22" s="7"/>
      <c r="DW22" s="7"/>
      <c r="DX22" s="7"/>
      <c r="DY22" s="7"/>
      <c r="DZ22" s="7"/>
      <c r="EA22" s="7"/>
      <c r="EB22" s="7"/>
      <c r="EC22" s="7"/>
      <c r="ED22" s="7"/>
      <c r="EE22" s="7"/>
      <c r="EF22" s="7"/>
      <c r="EG22" s="7"/>
      <c r="EH22" s="7"/>
      <c r="EI22" s="7"/>
      <c r="EJ22" s="7"/>
      <c r="EK22" s="7"/>
      <c r="EL22" s="7"/>
      <c r="EM22" s="7"/>
      <c r="EN22" s="7"/>
      <c r="EO22" s="7"/>
      <c r="EP22" s="7"/>
      <c r="EQ22" s="7"/>
      <c r="ER22" s="7"/>
      <c r="ES22" s="7"/>
      <c r="ET22" s="7"/>
      <c r="EU22" s="7"/>
      <c r="EV22" s="7"/>
      <c r="EW22" s="7"/>
      <c r="EX22" s="7"/>
      <c r="EY22" s="7"/>
      <c r="EZ22" s="7"/>
      <c r="FA22" s="7"/>
      <c r="FB22" s="7"/>
      <c r="FC22" s="7"/>
      <c r="FD22" s="7"/>
      <c r="FE22" s="7"/>
      <c r="FF22" s="7"/>
      <c r="FG22" s="7"/>
      <c r="FH22" s="7"/>
      <c r="FI22" s="7"/>
      <c r="FJ22" s="7"/>
      <c r="FK22" s="7"/>
      <c r="FL22" s="7"/>
      <c r="FM22" s="7"/>
      <c r="FN22" s="7"/>
      <c r="FO22" s="7"/>
      <c r="FP22" s="7"/>
      <c r="FQ22" s="7"/>
      <c r="FR22" s="7"/>
      <c r="FS22" s="7"/>
      <c r="FT22" s="7"/>
      <c r="FU22" s="7"/>
      <c r="FV22" s="7"/>
      <c r="FW22" s="7"/>
      <c r="FX22" s="7"/>
      <c r="FY22" s="7"/>
      <c r="FZ22" s="7"/>
      <c r="GA22" s="7"/>
      <c r="GB22" s="7"/>
      <c r="GC22" s="7"/>
      <c r="GD22" s="7"/>
      <c r="GE22" s="7"/>
      <c r="GF22" s="7"/>
      <c r="GG22" s="7"/>
      <c r="GH22" s="7"/>
      <c r="GI22" s="7"/>
      <c r="GJ22" s="7"/>
      <c r="GK22" s="7"/>
      <c r="GL22" s="7"/>
      <c r="GM22" s="7"/>
      <c r="GN22" s="7"/>
      <c r="GO22" s="7"/>
      <c r="GP22" s="7"/>
      <c r="GQ22" s="7"/>
      <c r="GR22" s="7"/>
      <c r="GS22" s="7"/>
      <c r="GT22" s="7"/>
      <c r="GU22" s="7"/>
      <c r="GV22" s="7"/>
      <c r="GW22" s="7"/>
      <c r="GX22" s="7"/>
      <c r="GY22" s="7"/>
      <c r="GZ22" s="7"/>
      <c r="HA22" s="7"/>
      <c r="HB22" s="7"/>
      <c r="HC22" s="7"/>
      <c r="HD22" s="7"/>
      <c r="HE22" s="7"/>
      <c r="HF22" s="7"/>
      <c r="HG22" s="7"/>
      <c r="HH22" s="7"/>
      <c r="HI22" s="7"/>
      <c r="HJ22" s="7"/>
      <c r="HK22" s="7"/>
      <c r="HL22" s="7"/>
      <c r="HM22" s="7"/>
      <c r="HN22" s="7"/>
      <c r="HO22" s="7"/>
      <c r="HP22" s="7"/>
      <c r="HQ22" s="7"/>
      <c r="HR22" s="7"/>
      <c r="HS22" s="7"/>
      <c r="HT22" s="7"/>
      <c r="HU22" s="7"/>
      <c r="HV22" s="7"/>
      <c r="HW22" s="7"/>
      <c r="HX22" s="7"/>
      <c r="HY22" s="7"/>
      <c r="HZ22" s="7"/>
      <c r="IA22" s="7"/>
      <c r="IB22" s="7"/>
      <c r="IC22" s="7"/>
      <c r="ID22" s="7"/>
      <c r="IE22" s="7"/>
      <c r="IF22" s="7"/>
      <c r="IG22" s="7"/>
      <c r="IH22" s="7"/>
      <c r="II22" s="7"/>
      <c r="IJ22" s="7"/>
      <c r="IK22" s="7"/>
      <c r="IL22" s="7"/>
      <c r="IM22" s="7"/>
      <c r="IN22" s="7"/>
      <c r="IO22" s="7"/>
      <c r="IP22" s="7"/>
      <c r="IQ22" s="7"/>
      <c r="IR22" s="7"/>
      <c r="IS22" s="7"/>
      <c r="IT22" s="7"/>
      <c r="IU22" s="7"/>
      <c r="IV22" s="7"/>
    </row>
    <row r="23" spans="1:256" s="8" customFormat="1" ht="25.5" customHeight="1" x14ac:dyDescent="0.2">
      <c r="A23" s="222" t="str">
        <f>IF(Eingabe!A127="","",Eingabe!A127)</f>
        <v/>
      </c>
      <c r="B23" s="145"/>
      <c r="C23" s="145"/>
      <c r="D23" s="145"/>
      <c r="E23" s="145" t="str">
        <f>IF(Eingabe!B127="","",Eingabe!B127)</f>
        <v/>
      </c>
      <c r="F23" s="145"/>
      <c r="G23" s="145"/>
      <c r="H23" s="145"/>
      <c r="I23" s="137" t="str">
        <f>IF(Eingabe!C127="","",Eingabe!C127)</f>
        <v/>
      </c>
      <c r="J23" s="137"/>
      <c r="K23" s="137"/>
      <c r="L23" s="137"/>
      <c r="M23" s="232" t="str">
        <f>IF(Eingabe!D127&amp;""&amp;Eingabe!E127="","",Eingabe!D127&amp;" 
"&amp;Eingabe!E127)</f>
        <v/>
      </c>
      <c r="N23" s="232"/>
      <c r="O23" s="232"/>
      <c r="P23" s="232"/>
      <c r="Q23" s="232"/>
      <c r="R23" s="232"/>
      <c r="S23" s="232"/>
      <c r="T23" s="232"/>
      <c r="U23" s="232"/>
      <c r="V23" s="232"/>
      <c r="W23" s="232"/>
      <c r="X23" s="232"/>
      <c r="Y23" s="232"/>
      <c r="Z23" s="232"/>
      <c r="AA23" s="232"/>
      <c r="AB23" s="232"/>
      <c r="AC23" s="232"/>
      <c r="AD23" s="232"/>
      <c r="AE23" s="232"/>
      <c r="AF23" s="232"/>
      <c r="AG23" s="137" t="str">
        <f>IF(Eingabe!F127&amp;""&amp;Eingabe!G127="","",Eingabe!F127&amp;" 
"&amp;Eingabe!G127)</f>
        <v/>
      </c>
      <c r="AH23" s="137"/>
      <c r="AI23" s="137"/>
      <c r="AJ23" s="137"/>
      <c r="AK23" s="137"/>
      <c r="AL23" s="137"/>
      <c r="AM23" s="137"/>
      <c r="AN23" s="137"/>
      <c r="AO23" s="137"/>
      <c r="AP23" s="137"/>
      <c r="AQ23" s="137"/>
      <c r="AR23" s="137"/>
      <c r="AS23" s="137"/>
      <c r="AT23" s="137"/>
      <c r="AU23" s="137"/>
      <c r="AV23" s="137"/>
      <c r="AW23" s="137"/>
      <c r="AX23" s="137" t="str">
        <f>IF(Eingabe!H127="","",Eingabe!H127)</f>
        <v/>
      </c>
      <c r="AY23" s="137"/>
      <c r="AZ23" s="137"/>
      <c r="BA23" s="137"/>
      <c r="BB23" s="137" t="str">
        <f>IF(Eingabe!K127="","",Eingabe!K127)</f>
        <v/>
      </c>
      <c r="BC23" s="137"/>
      <c r="BD23" s="137"/>
      <c r="BE23" s="137"/>
      <c r="BF23" s="137"/>
      <c r="BG23" s="137"/>
      <c r="BH23" s="137"/>
      <c r="BI23" s="137"/>
      <c r="BJ23" s="137"/>
      <c r="BK23" s="137"/>
      <c r="BL23" s="137"/>
      <c r="BM23" s="137"/>
      <c r="BN23" s="138"/>
      <c r="BO23" s="7"/>
      <c r="BP23" s="7"/>
      <c r="BQ23" s="7"/>
      <c r="BR23" s="7"/>
      <c r="BS23" s="7"/>
      <c r="BT23" s="7"/>
      <c r="BU23" s="7"/>
      <c r="BV23" s="7"/>
      <c r="BW23" s="7"/>
      <c r="BX23" s="7"/>
      <c r="BY23" s="7"/>
      <c r="BZ23" s="7"/>
      <c r="CA23" s="7"/>
      <c r="CB23" s="7"/>
      <c r="CC23" s="7"/>
      <c r="CD23" s="7"/>
      <c r="CE23" s="7"/>
      <c r="CF23" s="7"/>
      <c r="CG23" s="7"/>
      <c r="CH23" s="7"/>
      <c r="CI23" s="7"/>
      <c r="CJ23" s="7"/>
      <c r="CK23" s="7"/>
      <c r="CL23" s="7"/>
      <c r="CM23" s="7"/>
      <c r="CN23" s="7"/>
      <c r="CO23" s="7"/>
      <c r="CP23" s="7"/>
      <c r="CQ23" s="7"/>
      <c r="CR23" s="7"/>
      <c r="CS23" s="7"/>
      <c r="CT23" s="7"/>
      <c r="CU23" s="7"/>
      <c r="CV23" s="7"/>
      <c r="CW23" s="7"/>
      <c r="CX23" s="7"/>
      <c r="CY23" s="7"/>
      <c r="CZ23" s="7"/>
      <c r="DA23" s="7"/>
      <c r="DB23" s="7"/>
      <c r="DC23" s="7"/>
      <c r="DD23" s="7"/>
      <c r="DE23" s="7"/>
      <c r="DF23" s="7"/>
      <c r="DG23" s="7"/>
      <c r="DH23" s="7"/>
      <c r="DI23" s="7"/>
      <c r="DJ23" s="7"/>
      <c r="DK23" s="7"/>
      <c r="DL23" s="7"/>
      <c r="DM23" s="7"/>
      <c r="DN23" s="7"/>
      <c r="DO23" s="7"/>
      <c r="DP23" s="7"/>
      <c r="DQ23" s="7"/>
      <c r="DR23" s="7"/>
      <c r="DS23" s="7"/>
      <c r="DT23" s="7"/>
      <c r="DU23" s="7"/>
      <c r="DV23" s="7"/>
      <c r="DW23" s="7"/>
      <c r="DX23" s="7"/>
      <c r="DY23" s="7"/>
      <c r="DZ23" s="7"/>
      <c r="EA23" s="7"/>
      <c r="EB23" s="7"/>
      <c r="EC23" s="7"/>
      <c r="ED23" s="7"/>
      <c r="EE23" s="7"/>
      <c r="EF23" s="7"/>
      <c r="EG23" s="7"/>
      <c r="EH23" s="7"/>
      <c r="EI23" s="7"/>
      <c r="EJ23" s="7"/>
      <c r="EK23" s="7"/>
      <c r="EL23" s="7"/>
      <c r="EM23" s="7"/>
      <c r="EN23" s="7"/>
      <c r="EO23" s="7"/>
      <c r="EP23" s="7"/>
      <c r="EQ23" s="7"/>
      <c r="ER23" s="7"/>
      <c r="ES23" s="7"/>
      <c r="ET23" s="7"/>
      <c r="EU23" s="7"/>
      <c r="EV23" s="7"/>
      <c r="EW23" s="7"/>
      <c r="EX23" s="7"/>
      <c r="EY23" s="7"/>
      <c r="EZ23" s="7"/>
      <c r="FA23" s="7"/>
      <c r="FB23" s="7"/>
      <c r="FC23" s="7"/>
      <c r="FD23" s="7"/>
      <c r="FE23" s="7"/>
      <c r="FF23" s="7"/>
      <c r="FG23" s="7"/>
      <c r="FH23" s="7"/>
      <c r="FI23" s="7"/>
      <c r="FJ23" s="7"/>
      <c r="FK23" s="7"/>
      <c r="FL23" s="7"/>
      <c r="FM23" s="7"/>
      <c r="FN23" s="7"/>
      <c r="FO23" s="7"/>
      <c r="FP23" s="7"/>
      <c r="FQ23" s="7"/>
      <c r="FR23" s="7"/>
      <c r="FS23" s="7"/>
      <c r="FT23" s="7"/>
      <c r="FU23" s="7"/>
      <c r="FV23" s="7"/>
      <c r="FW23" s="7"/>
      <c r="FX23" s="7"/>
      <c r="FY23" s="7"/>
      <c r="FZ23" s="7"/>
      <c r="GA23" s="7"/>
      <c r="GB23" s="7"/>
      <c r="GC23" s="7"/>
      <c r="GD23" s="7"/>
      <c r="GE23" s="7"/>
      <c r="GF23" s="7"/>
      <c r="GG23" s="7"/>
      <c r="GH23" s="7"/>
      <c r="GI23" s="7"/>
      <c r="GJ23" s="7"/>
      <c r="GK23" s="7"/>
      <c r="GL23" s="7"/>
      <c r="GM23" s="7"/>
      <c r="GN23" s="7"/>
      <c r="GO23" s="7"/>
      <c r="GP23" s="7"/>
      <c r="GQ23" s="7"/>
      <c r="GR23" s="7"/>
      <c r="GS23" s="7"/>
      <c r="GT23" s="7"/>
      <c r="GU23" s="7"/>
      <c r="GV23" s="7"/>
      <c r="GW23" s="7"/>
      <c r="GX23" s="7"/>
      <c r="GY23" s="7"/>
      <c r="GZ23" s="7"/>
      <c r="HA23" s="7"/>
      <c r="HB23" s="7"/>
      <c r="HC23" s="7"/>
      <c r="HD23" s="7"/>
      <c r="HE23" s="7"/>
      <c r="HF23" s="7"/>
      <c r="HG23" s="7"/>
      <c r="HH23" s="7"/>
      <c r="HI23" s="7"/>
      <c r="HJ23" s="7"/>
      <c r="HK23" s="7"/>
      <c r="HL23" s="7"/>
      <c r="HM23" s="7"/>
      <c r="HN23" s="7"/>
      <c r="HO23" s="7"/>
      <c r="HP23" s="7"/>
      <c r="HQ23" s="7"/>
      <c r="HR23" s="7"/>
      <c r="HS23" s="7"/>
      <c r="HT23" s="7"/>
      <c r="HU23" s="7"/>
      <c r="HV23" s="7"/>
      <c r="HW23" s="7"/>
      <c r="HX23" s="7"/>
      <c r="HY23" s="7"/>
      <c r="HZ23" s="7"/>
      <c r="IA23" s="7"/>
      <c r="IB23" s="7"/>
      <c r="IC23" s="7"/>
      <c r="ID23" s="7"/>
      <c r="IE23" s="7"/>
      <c r="IF23" s="7"/>
      <c r="IG23" s="7"/>
      <c r="IH23" s="7"/>
      <c r="II23" s="7"/>
      <c r="IJ23" s="7"/>
      <c r="IK23" s="7"/>
      <c r="IL23" s="7"/>
      <c r="IM23" s="7"/>
      <c r="IN23" s="7"/>
      <c r="IO23" s="7"/>
      <c r="IP23" s="7"/>
      <c r="IQ23" s="7"/>
      <c r="IR23" s="7"/>
      <c r="IS23" s="7"/>
      <c r="IT23" s="7"/>
      <c r="IU23" s="7"/>
      <c r="IV23" s="7"/>
    </row>
    <row r="24" spans="1:256" s="8" customFormat="1" ht="25.5" customHeight="1" x14ac:dyDescent="0.2">
      <c r="A24" s="222" t="str">
        <f>IF(Eingabe!A128="","",Eingabe!A128)</f>
        <v/>
      </c>
      <c r="B24" s="145"/>
      <c r="C24" s="145"/>
      <c r="D24" s="145"/>
      <c r="E24" s="145" t="str">
        <f>IF(Eingabe!B128="","",Eingabe!B128)</f>
        <v/>
      </c>
      <c r="F24" s="145"/>
      <c r="G24" s="145"/>
      <c r="H24" s="145"/>
      <c r="I24" s="137" t="str">
        <f>IF(Eingabe!C128="","",Eingabe!C128)</f>
        <v/>
      </c>
      <c r="J24" s="137"/>
      <c r="K24" s="137"/>
      <c r="L24" s="137"/>
      <c r="M24" s="232" t="str">
        <f>IF(Eingabe!D128&amp;""&amp;Eingabe!E128="","",Eingabe!D128&amp;" 
"&amp;Eingabe!E128)</f>
        <v/>
      </c>
      <c r="N24" s="232"/>
      <c r="O24" s="232"/>
      <c r="P24" s="232"/>
      <c r="Q24" s="232"/>
      <c r="R24" s="232"/>
      <c r="S24" s="232"/>
      <c r="T24" s="232"/>
      <c r="U24" s="232"/>
      <c r="V24" s="232"/>
      <c r="W24" s="232"/>
      <c r="X24" s="232"/>
      <c r="Y24" s="232"/>
      <c r="Z24" s="232"/>
      <c r="AA24" s="232"/>
      <c r="AB24" s="232"/>
      <c r="AC24" s="232"/>
      <c r="AD24" s="232"/>
      <c r="AE24" s="232"/>
      <c r="AF24" s="232"/>
      <c r="AG24" s="137" t="str">
        <f>IF(Eingabe!F128&amp;""&amp;Eingabe!G128="","",Eingabe!F128&amp;" 
"&amp;Eingabe!G128)</f>
        <v/>
      </c>
      <c r="AH24" s="137"/>
      <c r="AI24" s="137"/>
      <c r="AJ24" s="137"/>
      <c r="AK24" s="137"/>
      <c r="AL24" s="137"/>
      <c r="AM24" s="137"/>
      <c r="AN24" s="137"/>
      <c r="AO24" s="137"/>
      <c r="AP24" s="137"/>
      <c r="AQ24" s="137"/>
      <c r="AR24" s="137"/>
      <c r="AS24" s="137"/>
      <c r="AT24" s="137"/>
      <c r="AU24" s="137"/>
      <c r="AV24" s="137"/>
      <c r="AW24" s="137"/>
      <c r="AX24" s="137" t="str">
        <f>IF(Eingabe!H128="","",Eingabe!H128)</f>
        <v/>
      </c>
      <c r="AY24" s="137"/>
      <c r="AZ24" s="137"/>
      <c r="BA24" s="137"/>
      <c r="BB24" s="137" t="str">
        <f>IF(Eingabe!K128="","",Eingabe!K128)</f>
        <v/>
      </c>
      <c r="BC24" s="137"/>
      <c r="BD24" s="137"/>
      <c r="BE24" s="137"/>
      <c r="BF24" s="137"/>
      <c r="BG24" s="137"/>
      <c r="BH24" s="137"/>
      <c r="BI24" s="137"/>
      <c r="BJ24" s="137"/>
      <c r="BK24" s="137"/>
      <c r="BL24" s="137"/>
      <c r="BM24" s="137"/>
      <c r="BN24" s="138"/>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row>
    <row r="25" spans="1:256" s="8" customFormat="1" ht="25.5" customHeight="1" x14ac:dyDescent="0.2">
      <c r="A25" s="222" t="str">
        <f>IF(Eingabe!A129="","",Eingabe!A129)</f>
        <v/>
      </c>
      <c r="B25" s="145"/>
      <c r="C25" s="145"/>
      <c r="D25" s="145"/>
      <c r="E25" s="145" t="str">
        <f>IF(Eingabe!B129="","",Eingabe!B129)</f>
        <v/>
      </c>
      <c r="F25" s="145"/>
      <c r="G25" s="145"/>
      <c r="H25" s="145"/>
      <c r="I25" s="137" t="str">
        <f>IF(Eingabe!C129="","",Eingabe!C129)</f>
        <v/>
      </c>
      <c r="J25" s="137"/>
      <c r="K25" s="137"/>
      <c r="L25" s="137"/>
      <c r="M25" s="232" t="str">
        <f>IF(Eingabe!D129&amp;""&amp;Eingabe!E129="","",Eingabe!D129&amp;" 
"&amp;Eingabe!E129)</f>
        <v/>
      </c>
      <c r="N25" s="232"/>
      <c r="O25" s="232"/>
      <c r="P25" s="232"/>
      <c r="Q25" s="232"/>
      <c r="R25" s="232"/>
      <c r="S25" s="232"/>
      <c r="T25" s="232"/>
      <c r="U25" s="232"/>
      <c r="V25" s="232"/>
      <c r="W25" s="232"/>
      <c r="X25" s="232"/>
      <c r="Y25" s="232"/>
      <c r="Z25" s="232"/>
      <c r="AA25" s="232"/>
      <c r="AB25" s="232"/>
      <c r="AC25" s="232"/>
      <c r="AD25" s="232"/>
      <c r="AE25" s="232"/>
      <c r="AF25" s="232"/>
      <c r="AG25" s="137" t="str">
        <f>IF(Eingabe!F129&amp;""&amp;Eingabe!G129="","",Eingabe!F129&amp;" 
"&amp;Eingabe!G129)</f>
        <v/>
      </c>
      <c r="AH25" s="137"/>
      <c r="AI25" s="137"/>
      <c r="AJ25" s="137"/>
      <c r="AK25" s="137"/>
      <c r="AL25" s="137"/>
      <c r="AM25" s="137"/>
      <c r="AN25" s="137"/>
      <c r="AO25" s="137"/>
      <c r="AP25" s="137"/>
      <c r="AQ25" s="137"/>
      <c r="AR25" s="137"/>
      <c r="AS25" s="137"/>
      <c r="AT25" s="137"/>
      <c r="AU25" s="137"/>
      <c r="AV25" s="137"/>
      <c r="AW25" s="137"/>
      <c r="AX25" s="137" t="str">
        <f>IF(Eingabe!H129="","",Eingabe!H129)</f>
        <v/>
      </c>
      <c r="AY25" s="137"/>
      <c r="AZ25" s="137"/>
      <c r="BA25" s="137"/>
      <c r="BB25" s="137" t="str">
        <f>IF(Eingabe!K129="","",Eingabe!K129)</f>
        <v/>
      </c>
      <c r="BC25" s="137"/>
      <c r="BD25" s="137"/>
      <c r="BE25" s="137"/>
      <c r="BF25" s="137"/>
      <c r="BG25" s="137"/>
      <c r="BH25" s="137"/>
      <c r="BI25" s="137"/>
      <c r="BJ25" s="137"/>
      <c r="BK25" s="137"/>
      <c r="BL25" s="137"/>
      <c r="BM25" s="137"/>
      <c r="BN25" s="138"/>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row>
    <row r="26" spans="1:256" s="8" customFormat="1" ht="25.5" customHeight="1" x14ac:dyDescent="0.2">
      <c r="A26" s="222" t="str">
        <f>IF(Eingabe!A130="","",Eingabe!A130)</f>
        <v/>
      </c>
      <c r="B26" s="145"/>
      <c r="C26" s="145"/>
      <c r="D26" s="145"/>
      <c r="E26" s="145" t="str">
        <f>IF(Eingabe!B130="","",Eingabe!B130)</f>
        <v/>
      </c>
      <c r="F26" s="145"/>
      <c r="G26" s="145"/>
      <c r="H26" s="145"/>
      <c r="I26" s="137" t="str">
        <f>IF(Eingabe!C130="","",Eingabe!C130)</f>
        <v/>
      </c>
      <c r="J26" s="137"/>
      <c r="K26" s="137"/>
      <c r="L26" s="137"/>
      <c r="M26" s="232" t="str">
        <f>IF(Eingabe!D130&amp;""&amp;Eingabe!E130="","",Eingabe!D130&amp;" 
"&amp;Eingabe!E130)</f>
        <v/>
      </c>
      <c r="N26" s="232"/>
      <c r="O26" s="232"/>
      <c r="P26" s="232"/>
      <c r="Q26" s="232"/>
      <c r="R26" s="232"/>
      <c r="S26" s="232"/>
      <c r="T26" s="232"/>
      <c r="U26" s="232"/>
      <c r="V26" s="232"/>
      <c r="W26" s="232"/>
      <c r="X26" s="232"/>
      <c r="Y26" s="232"/>
      <c r="Z26" s="232"/>
      <c r="AA26" s="232"/>
      <c r="AB26" s="232"/>
      <c r="AC26" s="232"/>
      <c r="AD26" s="232"/>
      <c r="AE26" s="232"/>
      <c r="AF26" s="232"/>
      <c r="AG26" s="137" t="str">
        <f>IF(Eingabe!F130&amp;""&amp;Eingabe!G130="","",Eingabe!F130&amp;" 
"&amp;Eingabe!G130)</f>
        <v/>
      </c>
      <c r="AH26" s="137"/>
      <c r="AI26" s="137"/>
      <c r="AJ26" s="137"/>
      <c r="AK26" s="137"/>
      <c r="AL26" s="137"/>
      <c r="AM26" s="137"/>
      <c r="AN26" s="137"/>
      <c r="AO26" s="137"/>
      <c r="AP26" s="137"/>
      <c r="AQ26" s="137"/>
      <c r="AR26" s="137"/>
      <c r="AS26" s="137"/>
      <c r="AT26" s="137"/>
      <c r="AU26" s="137"/>
      <c r="AV26" s="137"/>
      <c r="AW26" s="137"/>
      <c r="AX26" s="137" t="str">
        <f>IF(Eingabe!H130="","",Eingabe!H130)</f>
        <v/>
      </c>
      <c r="AY26" s="137"/>
      <c r="AZ26" s="137"/>
      <c r="BA26" s="137"/>
      <c r="BB26" s="137" t="str">
        <f>IF(Eingabe!K130="","",Eingabe!K130)</f>
        <v/>
      </c>
      <c r="BC26" s="137"/>
      <c r="BD26" s="137"/>
      <c r="BE26" s="137"/>
      <c r="BF26" s="137"/>
      <c r="BG26" s="137"/>
      <c r="BH26" s="137"/>
      <c r="BI26" s="137"/>
      <c r="BJ26" s="137"/>
      <c r="BK26" s="137"/>
      <c r="BL26" s="137"/>
      <c r="BM26" s="137"/>
      <c r="BN26" s="138"/>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row>
    <row r="27" spans="1:256" s="8" customFormat="1" ht="25.5" customHeight="1" x14ac:dyDescent="0.2">
      <c r="A27" s="222" t="str">
        <f>IF(Eingabe!A131="","",Eingabe!A131)</f>
        <v/>
      </c>
      <c r="B27" s="145"/>
      <c r="C27" s="145"/>
      <c r="D27" s="145"/>
      <c r="E27" s="145" t="str">
        <f>IF(Eingabe!B131="","",Eingabe!B131)</f>
        <v/>
      </c>
      <c r="F27" s="145"/>
      <c r="G27" s="145"/>
      <c r="H27" s="145"/>
      <c r="I27" s="137" t="str">
        <f>IF(Eingabe!C131="","",Eingabe!C131)</f>
        <v/>
      </c>
      <c r="J27" s="137"/>
      <c r="K27" s="137"/>
      <c r="L27" s="137"/>
      <c r="M27" s="232" t="str">
        <f>IF(Eingabe!D131&amp;""&amp;Eingabe!E131="","",Eingabe!D131&amp;" 
"&amp;Eingabe!E131)</f>
        <v/>
      </c>
      <c r="N27" s="232"/>
      <c r="O27" s="232"/>
      <c r="P27" s="232"/>
      <c r="Q27" s="232"/>
      <c r="R27" s="232"/>
      <c r="S27" s="232"/>
      <c r="T27" s="232"/>
      <c r="U27" s="232"/>
      <c r="V27" s="232"/>
      <c r="W27" s="232"/>
      <c r="X27" s="232"/>
      <c r="Y27" s="232"/>
      <c r="Z27" s="232"/>
      <c r="AA27" s="232"/>
      <c r="AB27" s="232"/>
      <c r="AC27" s="232"/>
      <c r="AD27" s="232"/>
      <c r="AE27" s="232"/>
      <c r="AF27" s="232"/>
      <c r="AG27" s="137" t="str">
        <f>IF(Eingabe!F131&amp;""&amp;Eingabe!G131="","",Eingabe!F131&amp;" 
"&amp;Eingabe!G131)</f>
        <v/>
      </c>
      <c r="AH27" s="137"/>
      <c r="AI27" s="137"/>
      <c r="AJ27" s="137"/>
      <c r="AK27" s="137"/>
      <c r="AL27" s="137"/>
      <c r="AM27" s="137"/>
      <c r="AN27" s="137"/>
      <c r="AO27" s="137"/>
      <c r="AP27" s="137"/>
      <c r="AQ27" s="137"/>
      <c r="AR27" s="137"/>
      <c r="AS27" s="137"/>
      <c r="AT27" s="137"/>
      <c r="AU27" s="137"/>
      <c r="AV27" s="137"/>
      <c r="AW27" s="137"/>
      <c r="AX27" s="137" t="str">
        <f>IF(Eingabe!H131="","",Eingabe!H131)</f>
        <v/>
      </c>
      <c r="AY27" s="137"/>
      <c r="AZ27" s="137"/>
      <c r="BA27" s="137"/>
      <c r="BB27" s="137" t="str">
        <f>IF(Eingabe!K131="","",Eingabe!K131)</f>
        <v/>
      </c>
      <c r="BC27" s="137"/>
      <c r="BD27" s="137"/>
      <c r="BE27" s="137"/>
      <c r="BF27" s="137"/>
      <c r="BG27" s="137"/>
      <c r="BH27" s="137"/>
      <c r="BI27" s="137"/>
      <c r="BJ27" s="137"/>
      <c r="BK27" s="137"/>
      <c r="BL27" s="137"/>
      <c r="BM27" s="137"/>
      <c r="BN27" s="138"/>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row>
    <row r="28" spans="1:256" s="8" customFormat="1" ht="25.5" customHeight="1" thickBot="1" x14ac:dyDescent="0.25">
      <c r="A28" s="220" t="str">
        <f>IF(Eingabe!A132="","",Eingabe!A132)</f>
        <v/>
      </c>
      <c r="B28" s="221"/>
      <c r="C28" s="221"/>
      <c r="D28" s="221"/>
      <c r="E28" s="221" t="str">
        <f>IF(Eingabe!B132="","",Eingabe!B132)</f>
        <v/>
      </c>
      <c r="F28" s="221"/>
      <c r="G28" s="221"/>
      <c r="H28" s="221"/>
      <c r="I28" s="182" t="str">
        <f>IF(Eingabe!C132="","",Eingabe!C132)</f>
        <v/>
      </c>
      <c r="J28" s="182"/>
      <c r="K28" s="182"/>
      <c r="L28" s="182"/>
      <c r="M28" s="232" t="str">
        <f>IF(Eingabe!D132&amp;""&amp;Eingabe!E132="","",Eingabe!D132&amp;" 
"&amp;Eingabe!E132)</f>
        <v/>
      </c>
      <c r="N28" s="232"/>
      <c r="O28" s="232"/>
      <c r="P28" s="232"/>
      <c r="Q28" s="232"/>
      <c r="R28" s="232"/>
      <c r="S28" s="232"/>
      <c r="T28" s="232"/>
      <c r="U28" s="232"/>
      <c r="V28" s="232"/>
      <c r="W28" s="232"/>
      <c r="X28" s="232"/>
      <c r="Y28" s="232"/>
      <c r="Z28" s="232"/>
      <c r="AA28" s="232"/>
      <c r="AB28" s="232"/>
      <c r="AC28" s="232"/>
      <c r="AD28" s="232"/>
      <c r="AE28" s="232"/>
      <c r="AF28" s="232"/>
      <c r="AG28" s="137" t="str">
        <f>IF(Eingabe!F132&amp;""&amp;Eingabe!G132="","",Eingabe!F132&amp;" 
"&amp;Eingabe!G132)</f>
        <v/>
      </c>
      <c r="AH28" s="137"/>
      <c r="AI28" s="137"/>
      <c r="AJ28" s="137"/>
      <c r="AK28" s="137"/>
      <c r="AL28" s="137"/>
      <c r="AM28" s="137"/>
      <c r="AN28" s="137"/>
      <c r="AO28" s="137"/>
      <c r="AP28" s="137"/>
      <c r="AQ28" s="137"/>
      <c r="AR28" s="137"/>
      <c r="AS28" s="137"/>
      <c r="AT28" s="137"/>
      <c r="AU28" s="137"/>
      <c r="AV28" s="137"/>
      <c r="AW28" s="137"/>
      <c r="AX28" s="182" t="str">
        <f>IF(Eingabe!H132="","",Eingabe!H132)</f>
        <v/>
      </c>
      <c r="AY28" s="182"/>
      <c r="AZ28" s="182"/>
      <c r="BA28" s="182"/>
      <c r="BB28" s="182" t="str">
        <f>IF(Eingabe!K132="","",Eingabe!K132)</f>
        <v/>
      </c>
      <c r="BC28" s="182"/>
      <c r="BD28" s="182"/>
      <c r="BE28" s="182"/>
      <c r="BF28" s="182"/>
      <c r="BG28" s="182"/>
      <c r="BH28" s="182"/>
      <c r="BI28" s="182"/>
      <c r="BJ28" s="182"/>
      <c r="BK28" s="182"/>
      <c r="BL28" s="182"/>
      <c r="BM28" s="182"/>
      <c r="BN28" s="233"/>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row>
    <row r="29" spans="1:256" ht="10.5" customHeight="1" x14ac:dyDescent="0.2">
      <c r="A29" s="183" t="s">
        <v>0</v>
      </c>
      <c r="B29" s="184"/>
      <c r="C29" s="184"/>
      <c r="D29" s="184"/>
      <c r="E29" s="184"/>
      <c r="F29" s="184"/>
      <c r="G29" s="184"/>
      <c r="H29" s="184"/>
      <c r="I29" s="184"/>
      <c r="J29" s="184"/>
      <c r="K29" s="184"/>
      <c r="L29" s="184"/>
      <c r="M29" s="184"/>
      <c r="N29" s="184"/>
      <c r="O29" s="184"/>
      <c r="P29" s="184"/>
      <c r="Q29" s="184"/>
      <c r="R29" s="184"/>
      <c r="S29" s="184"/>
      <c r="T29" s="184"/>
      <c r="U29" s="184"/>
      <c r="V29" s="185"/>
      <c r="W29" s="134" t="s">
        <v>1</v>
      </c>
      <c r="X29" s="135"/>
      <c r="Y29" s="135"/>
      <c r="Z29" s="135"/>
      <c r="AA29" s="135"/>
      <c r="AB29" s="135"/>
      <c r="AC29" s="135"/>
      <c r="AD29" s="135"/>
      <c r="AE29" s="135"/>
      <c r="AF29" s="135"/>
      <c r="AG29" s="135"/>
      <c r="AH29" s="135"/>
      <c r="AI29" s="135"/>
      <c r="AJ29" s="135"/>
      <c r="AK29" s="135"/>
      <c r="AL29" s="135"/>
      <c r="AM29" s="135"/>
      <c r="AN29" s="135"/>
      <c r="AO29" s="135"/>
      <c r="AP29" s="135"/>
      <c r="AQ29" s="135"/>
      <c r="AR29" s="136"/>
      <c r="AS29" s="134" t="s">
        <v>2</v>
      </c>
      <c r="AT29" s="135"/>
      <c r="AU29" s="135"/>
      <c r="AV29" s="135"/>
      <c r="AW29" s="135"/>
      <c r="AX29" s="135"/>
      <c r="AY29" s="135"/>
      <c r="AZ29" s="135"/>
      <c r="BA29" s="136"/>
      <c r="BB29" s="134" t="s">
        <v>3</v>
      </c>
      <c r="BC29" s="135"/>
      <c r="BD29" s="135"/>
      <c r="BE29" s="135"/>
      <c r="BF29" s="135"/>
      <c r="BG29" s="135"/>
      <c r="BH29" s="135"/>
      <c r="BI29" s="135"/>
      <c r="BJ29" s="135"/>
      <c r="BK29" s="135"/>
      <c r="BL29" s="135"/>
      <c r="BM29" s="135"/>
      <c r="BN29" s="136"/>
    </row>
    <row r="30" spans="1:256" ht="10.5" customHeight="1" x14ac:dyDescent="0.2">
      <c r="A30" s="146" t="str">
        <f>IF(Eingabe!O2="","",Eingabe!O2)</f>
        <v>Beilage 3</v>
      </c>
      <c r="B30" s="147"/>
      <c r="C30" s="147"/>
      <c r="D30" s="147"/>
      <c r="E30" s="147"/>
      <c r="F30" s="147"/>
      <c r="G30" s="147"/>
      <c r="H30" s="147"/>
      <c r="I30" s="147"/>
      <c r="J30" s="147"/>
      <c r="K30" s="147"/>
      <c r="L30" s="147"/>
      <c r="M30" s="147"/>
      <c r="N30" s="147"/>
      <c r="O30" s="147"/>
      <c r="P30" s="147"/>
      <c r="Q30" s="147"/>
      <c r="R30" s="147"/>
      <c r="S30" s="147"/>
      <c r="T30" s="147"/>
      <c r="U30" s="147"/>
      <c r="V30" s="148"/>
      <c r="W30" s="186" t="str">
        <f>IF(Eingabe!E3="","",Eingabe!E3)</f>
        <v>Max Mustermann</v>
      </c>
      <c r="X30" s="187"/>
      <c r="Y30" s="187"/>
      <c r="Z30" s="187"/>
      <c r="AA30" s="187"/>
      <c r="AB30" s="187"/>
      <c r="AC30" s="187"/>
      <c r="AD30" s="187"/>
      <c r="AE30" s="187"/>
      <c r="AF30" s="187"/>
      <c r="AG30" s="187"/>
      <c r="AH30" s="187"/>
      <c r="AI30" s="187"/>
      <c r="AJ30" s="187"/>
      <c r="AK30" s="187"/>
      <c r="AL30" s="187"/>
      <c r="AM30" s="187"/>
      <c r="AN30" s="187"/>
      <c r="AO30" s="187"/>
      <c r="AP30" s="187"/>
      <c r="AQ30" s="187"/>
      <c r="AR30" s="188"/>
      <c r="AS30" s="192" t="str">
        <f>IF(Eingabe!I1="","",Eingabe!I1)</f>
        <v/>
      </c>
      <c r="AT30" s="193"/>
      <c r="AU30" s="193"/>
      <c r="AV30" s="193"/>
      <c r="AW30" s="193"/>
      <c r="AX30" s="193"/>
      <c r="AY30" s="193"/>
      <c r="AZ30" s="193"/>
      <c r="BA30" s="194"/>
      <c r="BB30" s="210" t="str">
        <f>IF(Eingabe!I2="","",Eingabe!I2)</f>
        <v/>
      </c>
      <c r="BC30" s="211"/>
      <c r="BD30" s="211"/>
      <c r="BE30" s="211"/>
      <c r="BF30" s="211"/>
      <c r="BG30" s="211"/>
      <c r="BH30" s="211"/>
      <c r="BI30" s="211"/>
      <c r="BJ30" s="211"/>
      <c r="BK30" s="211"/>
      <c r="BL30" s="211"/>
      <c r="BM30" s="211"/>
      <c r="BN30" s="212"/>
    </row>
    <row r="31" spans="1:256" ht="10.5" customHeight="1" thickBot="1" x14ac:dyDescent="0.25">
      <c r="A31" s="149"/>
      <c r="B31" s="150"/>
      <c r="C31" s="150"/>
      <c r="D31" s="150"/>
      <c r="E31" s="150"/>
      <c r="F31" s="150"/>
      <c r="G31" s="150"/>
      <c r="H31" s="150"/>
      <c r="I31" s="150"/>
      <c r="J31" s="150"/>
      <c r="K31" s="150"/>
      <c r="L31" s="150"/>
      <c r="M31" s="150"/>
      <c r="N31" s="150"/>
      <c r="O31" s="150"/>
      <c r="P31" s="150"/>
      <c r="Q31" s="150"/>
      <c r="R31" s="150"/>
      <c r="S31" s="150"/>
      <c r="T31" s="150"/>
      <c r="U31" s="150"/>
      <c r="V31" s="151"/>
      <c r="W31" s="189"/>
      <c r="X31" s="190"/>
      <c r="Y31" s="190"/>
      <c r="Z31" s="190"/>
      <c r="AA31" s="190"/>
      <c r="AB31" s="190"/>
      <c r="AC31" s="190"/>
      <c r="AD31" s="190"/>
      <c r="AE31" s="190"/>
      <c r="AF31" s="190"/>
      <c r="AG31" s="190"/>
      <c r="AH31" s="190"/>
      <c r="AI31" s="190"/>
      <c r="AJ31" s="190"/>
      <c r="AK31" s="190"/>
      <c r="AL31" s="190"/>
      <c r="AM31" s="190"/>
      <c r="AN31" s="190"/>
      <c r="AO31" s="190"/>
      <c r="AP31" s="190"/>
      <c r="AQ31" s="190"/>
      <c r="AR31" s="191"/>
      <c r="AS31" s="195"/>
      <c r="AT31" s="196"/>
      <c r="AU31" s="196"/>
      <c r="AV31" s="196"/>
      <c r="AW31" s="196"/>
      <c r="AX31" s="196"/>
      <c r="AY31" s="196"/>
      <c r="AZ31" s="196"/>
      <c r="BA31" s="197"/>
      <c r="BB31" s="213"/>
      <c r="BC31" s="214"/>
      <c r="BD31" s="214"/>
      <c r="BE31" s="214"/>
      <c r="BF31" s="214"/>
      <c r="BG31" s="214"/>
      <c r="BH31" s="214"/>
      <c r="BI31" s="214"/>
      <c r="BJ31" s="214"/>
      <c r="BK31" s="214"/>
      <c r="BL31" s="214"/>
      <c r="BM31" s="214"/>
      <c r="BN31" s="215"/>
    </row>
    <row r="32" spans="1:256" ht="10.5" customHeight="1" x14ac:dyDescent="0.2">
      <c r="A32" s="173"/>
      <c r="B32" s="174"/>
      <c r="C32" s="174"/>
      <c r="D32" s="174"/>
      <c r="E32" s="174"/>
      <c r="F32" s="174"/>
      <c r="G32" s="174"/>
      <c r="H32" s="174"/>
      <c r="I32" s="174"/>
      <c r="J32" s="174"/>
      <c r="K32" s="174"/>
      <c r="L32" s="174"/>
      <c r="M32" s="174"/>
      <c r="N32" s="174"/>
      <c r="O32" s="174"/>
      <c r="P32" s="174"/>
      <c r="Q32" s="174"/>
      <c r="R32" s="174"/>
      <c r="S32" s="174"/>
      <c r="T32" s="174"/>
      <c r="U32" s="174"/>
      <c r="V32" s="175"/>
      <c r="W32" s="134" t="s">
        <v>4</v>
      </c>
      <c r="X32" s="135"/>
      <c r="Y32" s="135"/>
      <c r="Z32" s="135"/>
      <c r="AA32" s="135"/>
      <c r="AB32" s="135"/>
      <c r="AC32" s="135"/>
      <c r="AD32" s="135"/>
      <c r="AE32" s="135"/>
      <c r="AF32" s="136"/>
      <c r="AG32" s="134" t="s">
        <v>5</v>
      </c>
      <c r="AH32" s="135"/>
      <c r="AI32" s="135"/>
      <c r="AJ32" s="136"/>
      <c r="AK32" s="134" t="s">
        <v>6</v>
      </c>
      <c r="AL32" s="135"/>
      <c r="AM32" s="135"/>
      <c r="AN32" s="136"/>
      <c r="AO32" s="134" t="s">
        <v>7</v>
      </c>
      <c r="AP32" s="135"/>
      <c r="AQ32" s="135"/>
      <c r="AR32" s="136"/>
      <c r="AS32" s="198" t="s">
        <v>8</v>
      </c>
      <c r="AT32" s="199"/>
      <c r="AU32" s="199"/>
      <c r="AV32" s="199"/>
      <c r="AW32" s="199"/>
      <c r="AX32" s="199"/>
      <c r="AY32" s="199"/>
      <c r="AZ32" s="199"/>
      <c r="BA32" s="199"/>
      <c r="BB32" s="199"/>
      <c r="BC32" s="199"/>
      <c r="BD32" s="199"/>
      <c r="BE32" s="199"/>
      <c r="BF32" s="199"/>
      <c r="BG32" s="199"/>
      <c r="BH32" s="200"/>
      <c r="BI32" s="134" t="s">
        <v>9</v>
      </c>
      <c r="BJ32" s="135"/>
      <c r="BK32" s="135"/>
      <c r="BL32" s="135"/>
      <c r="BM32" s="135"/>
      <c r="BN32" s="136"/>
    </row>
    <row r="33" spans="1:66" ht="10.5" customHeight="1" x14ac:dyDescent="0.2">
      <c r="A33" s="176"/>
      <c r="B33" s="177"/>
      <c r="C33" s="177"/>
      <c r="D33" s="177"/>
      <c r="E33" s="177"/>
      <c r="F33" s="177"/>
      <c r="G33" s="177"/>
      <c r="H33" s="177"/>
      <c r="I33" s="177"/>
      <c r="J33" s="177"/>
      <c r="K33" s="177"/>
      <c r="L33" s="177"/>
      <c r="M33" s="177"/>
      <c r="N33" s="177"/>
      <c r="O33" s="177"/>
      <c r="P33" s="177"/>
      <c r="Q33" s="177"/>
      <c r="R33" s="177"/>
      <c r="S33" s="177"/>
      <c r="T33" s="177"/>
      <c r="U33" s="177"/>
      <c r="V33" s="178"/>
      <c r="W33" s="167" t="str">
        <f>IF(CONCATENATE(Eingabe!E1," ", Eingabe!E2)="","",CONCATENATE(Eingabe!E1," ", Eingabe!E2))</f>
        <v>xxHELx xx</v>
      </c>
      <c r="X33" s="168"/>
      <c r="Y33" s="168"/>
      <c r="Z33" s="168"/>
      <c r="AA33" s="168"/>
      <c r="AB33" s="168"/>
      <c r="AC33" s="168"/>
      <c r="AD33" s="168"/>
      <c r="AE33" s="168"/>
      <c r="AF33" s="169"/>
      <c r="AG33" s="167" t="str">
        <f>IF(Eingabe!E4="","",Eingabe!E4)</f>
        <v>MusM</v>
      </c>
      <c r="AH33" s="168"/>
      <c r="AI33" s="168"/>
      <c r="AJ33" s="169"/>
      <c r="AK33" s="152" t="str">
        <f>IF(Eingabe!I3="","",Eingabe!I3)</f>
        <v/>
      </c>
      <c r="AL33" s="153"/>
      <c r="AM33" s="153"/>
      <c r="AN33" s="154"/>
      <c r="AO33" s="152" t="str">
        <f>IF(Eingabe!I4="","",Eingabe!I4)</f>
        <v/>
      </c>
      <c r="AP33" s="153"/>
      <c r="AQ33" s="153"/>
      <c r="AR33" s="154"/>
      <c r="AS33" s="139" t="str">
        <f>IF(Eingabe!L1="","",Eingabe!L1)</f>
        <v>Stückliste</v>
      </c>
      <c r="AT33" s="140"/>
      <c r="AU33" s="140"/>
      <c r="AV33" s="140"/>
      <c r="AW33" s="140"/>
      <c r="AX33" s="140"/>
      <c r="AY33" s="140"/>
      <c r="AZ33" s="140"/>
      <c r="BA33" s="140"/>
      <c r="BB33" s="140"/>
      <c r="BC33" s="140"/>
      <c r="BD33" s="140"/>
      <c r="BE33" s="140"/>
      <c r="BF33" s="140"/>
      <c r="BG33" s="140"/>
      <c r="BH33" s="141"/>
      <c r="BI33" s="167" t="str">
        <f>IF(Eingabe!I5="","",Eingabe!I5)</f>
        <v>StrH</v>
      </c>
      <c r="BJ33" s="168"/>
      <c r="BK33" s="168"/>
      <c r="BL33" s="168"/>
      <c r="BM33" s="168"/>
      <c r="BN33" s="169"/>
    </row>
    <row r="34" spans="1:66" ht="10.5" customHeight="1" thickBot="1" x14ac:dyDescent="0.25">
      <c r="A34" s="176"/>
      <c r="B34" s="177"/>
      <c r="C34" s="177"/>
      <c r="D34" s="177"/>
      <c r="E34" s="177"/>
      <c r="F34" s="177"/>
      <c r="G34" s="177"/>
      <c r="H34" s="177"/>
      <c r="I34" s="177"/>
      <c r="J34" s="177"/>
      <c r="K34" s="177"/>
      <c r="L34" s="177"/>
      <c r="M34" s="177"/>
      <c r="N34" s="177"/>
      <c r="O34" s="177"/>
      <c r="P34" s="177"/>
      <c r="Q34" s="177"/>
      <c r="R34" s="177"/>
      <c r="S34" s="177"/>
      <c r="T34" s="177"/>
      <c r="U34" s="177"/>
      <c r="V34" s="178"/>
      <c r="W34" s="170"/>
      <c r="X34" s="171"/>
      <c r="Y34" s="171"/>
      <c r="Z34" s="171"/>
      <c r="AA34" s="171"/>
      <c r="AB34" s="171"/>
      <c r="AC34" s="171"/>
      <c r="AD34" s="171"/>
      <c r="AE34" s="171"/>
      <c r="AF34" s="172"/>
      <c r="AG34" s="170"/>
      <c r="AH34" s="171"/>
      <c r="AI34" s="171"/>
      <c r="AJ34" s="172"/>
      <c r="AK34" s="155"/>
      <c r="AL34" s="156"/>
      <c r="AM34" s="156"/>
      <c r="AN34" s="157"/>
      <c r="AO34" s="155"/>
      <c r="AP34" s="156"/>
      <c r="AQ34" s="156"/>
      <c r="AR34" s="157"/>
      <c r="AS34" s="142"/>
      <c r="AT34" s="143"/>
      <c r="AU34" s="143"/>
      <c r="AV34" s="143"/>
      <c r="AW34" s="143"/>
      <c r="AX34" s="143"/>
      <c r="AY34" s="143"/>
      <c r="AZ34" s="143"/>
      <c r="BA34" s="143"/>
      <c r="BB34" s="143"/>
      <c r="BC34" s="143"/>
      <c r="BD34" s="143"/>
      <c r="BE34" s="143"/>
      <c r="BF34" s="143"/>
      <c r="BG34" s="143"/>
      <c r="BH34" s="144"/>
      <c r="BI34" s="170"/>
      <c r="BJ34" s="171"/>
      <c r="BK34" s="171"/>
      <c r="BL34" s="171"/>
      <c r="BM34" s="171"/>
      <c r="BN34" s="172"/>
    </row>
    <row r="35" spans="1:66" ht="10.5" customHeight="1" x14ac:dyDescent="0.2">
      <c r="A35" s="176"/>
      <c r="B35" s="177"/>
      <c r="C35" s="177"/>
      <c r="D35" s="177"/>
      <c r="E35" s="177"/>
      <c r="F35" s="177"/>
      <c r="G35" s="177"/>
      <c r="H35" s="177"/>
      <c r="I35" s="177"/>
      <c r="J35" s="177"/>
      <c r="K35" s="177"/>
      <c r="L35" s="177"/>
      <c r="M35" s="177"/>
      <c r="N35" s="177"/>
      <c r="O35" s="177"/>
      <c r="P35" s="177"/>
      <c r="Q35" s="177"/>
      <c r="R35" s="177"/>
      <c r="S35" s="177"/>
      <c r="T35" s="177"/>
      <c r="U35" s="177"/>
      <c r="V35" s="178"/>
      <c r="W35" s="134" t="s">
        <v>10</v>
      </c>
      <c r="X35" s="135"/>
      <c r="Y35" s="135"/>
      <c r="Z35" s="135"/>
      <c r="AA35" s="135"/>
      <c r="AB35" s="135"/>
      <c r="AC35" s="135"/>
      <c r="AD35" s="135"/>
      <c r="AE35" s="135"/>
      <c r="AF35" s="135"/>
      <c r="AG35" s="135"/>
      <c r="AH35" s="135"/>
      <c r="AI35" s="135"/>
      <c r="AJ35" s="135"/>
      <c r="AK35" s="135"/>
      <c r="AL35" s="135"/>
      <c r="AM35" s="135"/>
      <c r="AN35" s="135"/>
      <c r="AO35" s="135"/>
      <c r="AP35" s="135"/>
      <c r="AQ35" s="135"/>
      <c r="AR35" s="136"/>
      <c r="AS35" s="134" t="s">
        <v>11</v>
      </c>
      <c r="AT35" s="135"/>
      <c r="AU35" s="135"/>
      <c r="AV35" s="135"/>
      <c r="AW35" s="135"/>
      <c r="AX35" s="135"/>
      <c r="AY35" s="136"/>
      <c r="AZ35" s="134" t="s">
        <v>12</v>
      </c>
      <c r="BA35" s="135"/>
      <c r="BB35" s="135"/>
      <c r="BC35" s="135"/>
      <c r="BD35" s="136"/>
      <c r="BE35" s="134" t="s">
        <v>13</v>
      </c>
      <c r="BF35" s="135"/>
      <c r="BG35" s="135"/>
      <c r="BH35" s="135"/>
      <c r="BI35" s="135"/>
      <c r="BJ35" s="135"/>
      <c r="BK35" s="135"/>
      <c r="BL35" s="135"/>
      <c r="BM35" s="135"/>
      <c r="BN35" s="136"/>
    </row>
    <row r="36" spans="1:66" ht="10.5" customHeight="1" x14ac:dyDescent="0.2">
      <c r="A36" s="176"/>
      <c r="B36" s="177"/>
      <c r="C36" s="177"/>
      <c r="D36" s="177"/>
      <c r="E36" s="177"/>
      <c r="F36" s="177"/>
      <c r="G36" s="177"/>
      <c r="H36" s="177"/>
      <c r="I36" s="177"/>
      <c r="J36" s="177"/>
      <c r="K36" s="177"/>
      <c r="L36" s="177"/>
      <c r="M36" s="177"/>
      <c r="N36" s="177"/>
      <c r="O36" s="177"/>
      <c r="P36" s="177"/>
      <c r="Q36" s="177"/>
      <c r="R36" s="177"/>
      <c r="S36" s="177"/>
      <c r="T36" s="177"/>
      <c r="U36" s="177"/>
      <c r="V36" s="178"/>
      <c r="W36" s="179" t="str">
        <f>IF(Eingabe!E5="","",Eingabe!E5)</f>
        <v>Gemini 4</v>
      </c>
      <c r="X36" s="180"/>
      <c r="Y36" s="180"/>
      <c r="Z36" s="180"/>
      <c r="AA36" s="180"/>
      <c r="AB36" s="180"/>
      <c r="AC36" s="180"/>
      <c r="AD36" s="180"/>
      <c r="AE36" s="180"/>
      <c r="AF36" s="180"/>
      <c r="AG36" s="180"/>
      <c r="AH36" s="180"/>
      <c r="AI36" s="180"/>
      <c r="AJ36" s="180"/>
      <c r="AK36" s="180"/>
      <c r="AL36" s="180"/>
      <c r="AM36" s="180"/>
      <c r="AN36" s="180"/>
      <c r="AO36" s="180"/>
      <c r="AP36" s="180"/>
      <c r="AQ36" s="180"/>
      <c r="AR36" s="181"/>
      <c r="AS36" s="219" t="str">
        <f>IF(Eingabe!L3="","",Eingabe!L3)</f>
        <v>4.4</v>
      </c>
      <c r="AT36" s="193"/>
      <c r="AU36" s="193"/>
      <c r="AV36" s="193"/>
      <c r="AW36" s="193"/>
      <c r="AX36" s="193"/>
      <c r="AY36" s="194"/>
      <c r="AZ36" s="210" t="str">
        <f>IF(Eingabe!L4="","",Eingabe!L4)</f>
        <v>002</v>
      </c>
      <c r="BA36" s="211"/>
      <c r="BB36" s="211"/>
      <c r="BC36" s="211"/>
      <c r="BD36" s="212"/>
      <c r="BE36" s="139" t="str">
        <f>IF(Eingabe!L5="","",Eingabe!L5)</f>
        <v>Fertigung</v>
      </c>
      <c r="BF36" s="140"/>
      <c r="BG36" s="140"/>
      <c r="BH36" s="140"/>
      <c r="BI36" s="140"/>
      <c r="BJ36" s="140"/>
      <c r="BK36" s="140"/>
      <c r="BL36" s="140"/>
      <c r="BM36" s="140"/>
      <c r="BN36" s="141"/>
    </row>
    <row r="37" spans="1:66" ht="10.5" customHeight="1" thickBot="1" x14ac:dyDescent="0.25">
      <c r="A37" s="164" t="s">
        <v>14</v>
      </c>
      <c r="B37" s="165"/>
      <c r="C37" s="165"/>
      <c r="D37" s="165"/>
      <c r="E37" s="165"/>
      <c r="F37" s="165"/>
      <c r="G37" s="165"/>
      <c r="H37" s="165"/>
      <c r="I37" s="165"/>
      <c r="J37" s="165"/>
      <c r="K37" s="165"/>
      <c r="L37" s="165"/>
      <c r="M37" s="165"/>
      <c r="N37" s="165"/>
      <c r="O37" s="165"/>
      <c r="P37" s="165"/>
      <c r="Q37" s="165"/>
      <c r="R37" s="165"/>
      <c r="S37" s="165"/>
      <c r="T37" s="165"/>
      <c r="U37" s="165"/>
      <c r="V37" s="166"/>
      <c r="W37" s="179"/>
      <c r="X37" s="180"/>
      <c r="Y37" s="180"/>
      <c r="Z37" s="180"/>
      <c r="AA37" s="180"/>
      <c r="AB37" s="180"/>
      <c r="AC37" s="180"/>
      <c r="AD37" s="180"/>
      <c r="AE37" s="180"/>
      <c r="AF37" s="180"/>
      <c r="AG37" s="180"/>
      <c r="AH37" s="180"/>
      <c r="AI37" s="180"/>
      <c r="AJ37" s="180"/>
      <c r="AK37" s="180"/>
      <c r="AL37" s="180"/>
      <c r="AM37" s="180"/>
      <c r="AN37" s="180"/>
      <c r="AO37" s="180"/>
      <c r="AP37" s="180"/>
      <c r="AQ37" s="180"/>
      <c r="AR37" s="181"/>
      <c r="AS37" s="195"/>
      <c r="AT37" s="196"/>
      <c r="AU37" s="196"/>
      <c r="AV37" s="196"/>
      <c r="AW37" s="196"/>
      <c r="AX37" s="196"/>
      <c r="AY37" s="197"/>
      <c r="AZ37" s="213"/>
      <c r="BA37" s="214"/>
      <c r="BB37" s="214"/>
      <c r="BC37" s="214"/>
      <c r="BD37" s="215"/>
      <c r="BE37" s="142"/>
      <c r="BF37" s="143"/>
      <c r="BG37" s="143"/>
      <c r="BH37" s="143"/>
      <c r="BI37" s="143"/>
      <c r="BJ37" s="143"/>
      <c r="BK37" s="143"/>
      <c r="BL37" s="143"/>
      <c r="BM37" s="143"/>
      <c r="BN37" s="144"/>
    </row>
    <row r="38" spans="1:66" ht="10.5" customHeight="1" x14ac:dyDescent="0.2">
      <c r="A38" s="164"/>
      <c r="B38" s="165"/>
      <c r="C38" s="165"/>
      <c r="D38" s="165"/>
      <c r="E38" s="165"/>
      <c r="F38" s="165"/>
      <c r="G38" s="165"/>
      <c r="H38" s="165"/>
      <c r="I38" s="165"/>
      <c r="J38" s="165"/>
      <c r="K38" s="165"/>
      <c r="L38" s="165"/>
      <c r="M38" s="165"/>
      <c r="N38" s="165"/>
      <c r="O38" s="165"/>
      <c r="P38" s="165"/>
      <c r="Q38" s="165"/>
      <c r="R38" s="165"/>
      <c r="S38" s="165"/>
      <c r="T38" s="165"/>
      <c r="U38" s="165"/>
      <c r="V38" s="166"/>
      <c r="W38" s="179"/>
      <c r="X38" s="180"/>
      <c r="Y38" s="180"/>
      <c r="Z38" s="180"/>
      <c r="AA38" s="180"/>
      <c r="AB38" s="180"/>
      <c r="AC38" s="180"/>
      <c r="AD38" s="180"/>
      <c r="AE38" s="180"/>
      <c r="AF38" s="180"/>
      <c r="AG38" s="180"/>
      <c r="AH38" s="180"/>
      <c r="AI38" s="180"/>
      <c r="AJ38" s="180"/>
      <c r="AK38" s="180"/>
      <c r="AL38" s="180"/>
      <c r="AM38" s="180"/>
      <c r="AN38" s="180"/>
      <c r="AO38" s="180"/>
      <c r="AP38" s="180"/>
      <c r="AQ38" s="180"/>
      <c r="AR38" s="181"/>
      <c r="AS38" s="216" t="s">
        <v>15</v>
      </c>
      <c r="AT38" s="217"/>
      <c r="AU38" s="217"/>
      <c r="AV38" s="218"/>
      <c r="AW38" s="202" t="s">
        <v>16</v>
      </c>
      <c r="AX38" s="202"/>
      <c r="AY38" s="203"/>
      <c r="AZ38" s="134" t="s">
        <v>17</v>
      </c>
      <c r="BA38" s="135"/>
      <c r="BB38" s="135"/>
      <c r="BC38" s="135"/>
      <c r="BD38" s="135"/>
      <c r="BE38" s="135"/>
      <c r="BF38" s="135"/>
      <c r="BG38" s="135"/>
      <c r="BH38" s="136"/>
      <c r="BI38" s="201" t="s">
        <v>18</v>
      </c>
      <c r="BJ38" s="202"/>
      <c r="BK38" s="203"/>
      <c r="BL38" s="14" t="s">
        <v>19</v>
      </c>
      <c r="BM38" s="15"/>
      <c r="BN38" s="16"/>
    </row>
    <row r="39" spans="1:66" ht="10.5" customHeight="1" x14ac:dyDescent="0.2">
      <c r="A39" s="158" t="str">
        <f>IF(Eingabe!M6="","",Eingabe!M6)</f>
        <v>Technische Informatik</v>
      </c>
      <c r="B39" s="159"/>
      <c r="C39" s="159"/>
      <c r="D39" s="159"/>
      <c r="E39" s="159"/>
      <c r="F39" s="159"/>
      <c r="G39" s="159"/>
      <c r="H39" s="159"/>
      <c r="I39" s="159"/>
      <c r="J39" s="159"/>
      <c r="K39" s="159"/>
      <c r="L39" s="159"/>
      <c r="M39" s="159"/>
      <c r="N39" s="159"/>
      <c r="O39" s="159"/>
      <c r="P39" s="159"/>
      <c r="Q39" s="159"/>
      <c r="R39" s="159"/>
      <c r="S39" s="159"/>
      <c r="T39" s="159"/>
      <c r="U39" s="159"/>
      <c r="V39" s="160"/>
      <c r="W39" s="139" t="str">
        <f>IF(Eingabe!E6="","",Eingabe!E6)</f>
        <v>Entwicklerboard</v>
      </c>
      <c r="X39" s="140"/>
      <c r="Y39" s="140"/>
      <c r="Z39" s="140"/>
      <c r="AA39" s="140"/>
      <c r="AB39" s="140"/>
      <c r="AC39" s="140"/>
      <c r="AD39" s="140"/>
      <c r="AE39" s="140"/>
      <c r="AF39" s="140"/>
      <c r="AG39" s="140"/>
      <c r="AH39" s="140"/>
      <c r="AI39" s="140"/>
      <c r="AJ39" s="140"/>
      <c r="AK39" s="140"/>
      <c r="AL39" s="140"/>
      <c r="AM39" s="140"/>
      <c r="AN39" s="140"/>
      <c r="AO39" s="140"/>
      <c r="AP39" s="140"/>
      <c r="AQ39" s="140"/>
      <c r="AR39" s="141"/>
      <c r="AS39" s="152" t="str">
        <f>IF(Eingabe!L6="","",Eingabe!L6)</f>
        <v>ohne</v>
      </c>
      <c r="AT39" s="153"/>
      <c r="AU39" s="153"/>
      <c r="AV39" s="154"/>
      <c r="AW39" s="168" t="str">
        <f>IF(Eingabe!I6="","",Eingabe!I6)</f>
        <v>DE</v>
      </c>
      <c r="AX39" s="168"/>
      <c r="AY39" s="169"/>
      <c r="AZ39" s="204">
        <f ca="1">IF(Eingabe!L2="","",Eingabe!L2)</f>
        <v>42272</v>
      </c>
      <c r="BA39" s="205"/>
      <c r="BB39" s="205"/>
      <c r="BC39" s="205"/>
      <c r="BD39" s="205"/>
      <c r="BE39" s="205"/>
      <c r="BF39" s="205"/>
      <c r="BG39" s="205"/>
      <c r="BH39" s="206"/>
      <c r="BI39" s="152">
        <v>5</v>
      </c>
      <c r="BJ39" s="153"/>
      <c r="BK39" s="154"/>
      <c r="BL39" s="152">
        <f>(5-(IF(Eingabe!$C$33="","1","0"))-(IF(Eingabe!$C$58="","1","0"))-(IF(Eingabe!$C$83="","1","0"))-(IF(Eingabe!$C$108="","1","0")))</f>
        <v>1</v>
      </c>
      <c r="BM39" s="153"/>
      <c r="BN39" s="154"/>
    </row>
    <row r="40" spans="1:66" ht="10.5" customHeight="1" thickBot="1" x14ac:dyDescent="0.25">
      <c r="A40" s="161"/>
      <c r="B40" s="162"/>
      <c r="C40" s="162"/>
      <c r="D40" s="162"/>
      <c r="E40" s="162"/>
      <c r="F40" s="162"/>
      <c r="G40" s="162"/>
      <c r="H40" s="162"/>
      <c r="I40" s="162"/>
      <c r="J40" s="162"/>
      <c r="K40" s="162"/>
      <c r="L40" s="162"/>
      <c r="M40" s="162"/>
      <c r="N40" s="162"/>
      <c r="O40" s="162"/>
      <c r="P40" s="162"/>
      <c r="Q40" s="162"/>
      <c r="R40" s="162"/>
      <c r="S40" s="162"/>
      <c r="T40" s="162"/>
      <c r="U40" s="162"/>
      <c r="V40" s="163"/>
      <c r="W40" s="142"/>
      <c r="X40" s="143"/>
      <c r="Y40" s="143"/>
      <c r="Z40" s="143"/>
      <c r="AA40" s="143"/>
      <c r="AB40" s="143"/>
      <c r="AC40" s="143"/>
      <c r="AD40" s="143"/>
      <c r="AE40" s="143"/>
      <c r="AF40" s="143"/>
      <c r="AG40" s="143"/>
      <c r="AH40" s="143"/>
      <c r="AI40" s="143"/>
      <c r="AJ40" s="143"/>
      <c r="AK40" s="143"/>
      <c r="AL40" s="143"/>
      <c r="AM40" s="143"/>
      <c r="AN40" s="143"/>
      <c r="AO40" s="143"/>
      <c r="AP40" s="143"/>
      <c r="AQ40" s="143"/>
      <c r="AR40" s="144"/>
      <c r="AS40" s="155"/>
      <c r="AT40" s="156"/>
      <c r="AU40" s="156"/>
      <c r="AV40" s="157"/>
      <c r="AW40" s="171"/>
      <c r="AX40" s="171"/>
      <c r="AY40" s="172"/>
      <c r="AZ40" s="207"/>
      <c r="BA40" s="208"/>
      <c r="BB40" s="208"/>
      <c r="BC40" s="208"/>
      <c r="BD40" s="208"/>
      <c r="BE40" s="208"/>
      <c r="BF40" s="208"/>
      <c r="BG40" s="208"/>
      <c r="BH40" s="209"/>
      <c r="BI40" s="155"/>
      <c r="BJ40" s="156"/>
      <c r="BK40" s="157"/>
      <c r="BL40" s="155"/>
      <c r="BM40" s="156"/>
      <c r="BN40" s="157"/>
    </row>
    <row r="41" spans="1:66"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row>
  </sheetData>
  <sheetProtection sheet="1" objects="1" scenarios="1" selectLockedCells="1"/>
  <mergeCells count="230">
    <mergeCell ref="A1:D1"/>
    <mergeCell ref="E1:H1"/>
    <mergeCell ref="I1:L1"/>
    <mergeCell ref="I5:L5"/>
    <mergeCell ref="M5:AF5"/>
    <mergeCell ref="M1:AF1"/>
    <mergeCell ref="A5:D5"/>
    <mergeCell ref="E5:H5"/>
    <mergeCell ref="A2:D3"/>
    <mergeCell ref="E2:H3"/>
    <mergeCell ref="I2:L3"/>
    <mergeCell ref="M2:AF3"/>
    <mergeCell ref="I4:L4"/>
    <mergeCell ref="M4:AF4"/>
    <mergeCell ref="A6:D6"/>
    <mergeCell ref="E6:H6"/>
    <mergeCell ref="A7:D7"/>
    <mergeCell ref="BB23:BN23"/>
    <mergeCell ref="BB22:BN22"/>
    <mergeCell ref="BB9:BN9"/>
    <mergeCell ref="AX12:BA12"/>
    <mergeCell ref="AG11:AW11"/>
    <mergeCell ref="AG7:AW7"/>
    <mergeCell ref="AG20:AW20"/>
    <mergeCell ref="AX20:BA20"/>
    <mergeCell ref="BB20:BN20"/>
    <mergeCell ref="I6:L6"/>
    <mergeCell ref="M6:AF6"/>
    <mergeCell ref="AG6:AW6"/>
    <mergeCell ref="A4:D4"/>
    <mergeCell ref="AG5:AW5"/>
    <mergeCell ref="E7:H7"/>
    <mergeCell ref="I7:L7"/>
    <mergeCell ref="AX1:BA1"/>
    <mergeCell ref="AX13:BA13"/>
    <mergeCell ref="AX18:BA18"/>
    <mergeCell ref="AX7:BA7"/>
    <mergeCell ref="BB7:BN7"/>
    <mergeCell ref="AX9:BA9"/>
    <mergeCell ref="BB13:BN13"/>
    <mergeCell ref="BB11:BN11"/>
    <mergeCell ref="BB1:BN1"/>
    <mergeCell ref="AX2:BA3"/>
    <mergeCell ref="BB2:BN3"/>
    <mergeCell ref="AX6:BA6"/>
    <mergeCell ref="AX5:BA5"/>
    <mergeCell ref="AG1:AW1"/>
    <mergeCell ref="BB16:BN16"/>
    <mergeCell ref="AX19:BA19"/>
    <mergeCell ref="BB19:BN19"/>
    <mergeCell ref="AX14:BA14"/>
    <mergeCell ref="BB17:BN17"/>
    <mergeCell ref="BB18:BN18"/>
    <mergeCell ref="AG2:AW3"/>
    <mergeCell ref="BB14:BN14"/>
    <mergeCell ref="AX11:BA11"/>
    <mergeCell ref="BB6:BN6"/>
    <mergeCell ref="BB8:BN8"/>
    <mergeCell ref="BB4:BN4"/>
    <mergeCell ref="BB5:BN5"/>
    <mergeCell ref="AX8:BA8"/>
    <mergeCell ref="BB12:BN12"/>
    <mergeCell ref="AX15:BA15"/>
    <mergeCell ref="BB15:BN15"/>
    <mergeCell ref="BB10:BN10"/>
    <mergeCell ref="AG4:AW4"/>
    <mergeCell ref="AX10:BA10"/>
    <mergeCell ref="AG9:AW9"/>
    <mergeCell ref="AX4:BA4"/>
    <mergeCell ref="AG8:AW8"/>
    <mergeCell ref="M7:AF7"/>
    <mergeCell ref="E4:H4"/>
    <mergeCell ref="I8:L8"/>
    <mergeCell ref="M8:AF8"/>
    <mergeCell ref="E8:H8"/>
    <mergeCell ref="AG15:AW15"/>
    <mergeCell ref="A12:D12"/>
    <mergeCell ref="E12:H12"/>
    <mergeCell ref="I12:L12"/>
    <mergeCell ref="M12:AF12"/>
    <mergeCell ref="AG12:AW12"/>
    <mergeCell ref="A9:D9"/>
    <mergeCell ref="E9:H9"/>
    <mergeCell ref="I9:L9"/>
    <mergeCell ref="M9:AF9"/>
    <mergeCell ref="A15:D15"/>
    <mergeCell ref="E15:H15"/>
    <mergeCell ref="I15:L15"/>
    <mergeCell ref="M15:AF15"/>
    <mergeCell ref="A11:D11"/>
    <mergeCell ref="E11:H11"/>
    <mergeCell ref="I11:L11"/>
    <mergeCell ref="M11:AF11"/>
    <mergeCell ref="A8:D8"/>
    <mergeCell ref="E17:H17"/>
    <mergeCell ref="I17:L17"/>
    <mergeCell ref="M17:AF17"/>
    <mergeCell ref="AG17:AW17"/>
    <mergeCell ref="AX17:BA17"/>
    <mergeCell ref="A10:D10"/>
    <mergeCell ref="E10:H10"/>
    <mergeCell ref="I10:L10"/>
    <mergeCell ref="M10:AF10"/>
    <mergeCell ref="AG10:AW10"/>
    <mergeCell ref="AG14:AW14"/>
    <mergeCell ref="A13:D13"/>
    <mergeCell ref="E13:H13"/>
    <mergeCell ref="I13:L13"/>
    <mergeCell ref="M13:AF13"/>
    <mergeCell ref="AG13:AW13"/>
    <mergeCell ref="A14:D14"/>
    <mergeCell ref="E14:H14"/>
    <mergeCell ref="I14:L14"/>
    <mergeCell ref="M14:AF14"/>
    <mergeCell ref="I16:L16"/>
    <mergeCell ref="M16:AF16"/>
    <mergeCell ref="AG16:AW16"/>
    <mergeCell ref="AX16:BA16"/>
    <mergeCell ref="A18:D18"/>
    <mergeCell ref="E18:H18"/>
    <mergeCell ref="I18:L18"/>
    <mergeCell ref="M18:AF18"/>
    <mergeCell ref="AG18:AW18"/>
    <mergeCell ref="A16:D16"/>
    <mergeCell ref="E16:H16"/>
    <mergeCell ref="A17:D17"/>
    <mergeCell ref="BB21:BN21"/>
    <mergeCell ref="A20:D20"/>
    <mergeCell ref="E20:H20"/>
    <mergeCell ref="I20:L20"/>
    <mergeCell ref="M20:AF20"/>
    <mergeCell ref="A21:D21"/>
    <mergeCell ref="E21:H21"/>
    <mergeCell ref="I21:L21"/>
    <mergeCell ref="M21:AF21"/>
    <mergeCell ref="AG21:AW21"/>
    <mergeCell ref="AX21:BA21"/>
    <mergeCell ref="A19:D19"/>
    <mergeCell ref="E19:H19"/>
    <mergeCell ref="I19:L19"/>
    <mergeCell ref="M19:AF19"/>
    <mergeCell ref="AG19:AW19"/>
    <mergeCell ref="A22:D22"/>
    <mergeCell ref="E22:H22"/>
    <mergeCell ref="I22:L22"/>
    <mergeCell ref="M22:AF22"/>
    <mergeCell ref="AG22:AW22"/>
    <mergeCell ref="AX22:BA22"/>
    <mergeCell ref="I24:L24"/>
    <mergeCell ref="M24:AF24"/>
    <mergeCell ref="AG24:AW24"/>
    <mergeCell ref="AX24:BA24"/>
    <mergeCell ref="A23:D23"/>
    <mergeCell ref="E23:H23"/>
    <mergeCell ref="I23:L23"/>
    <mergeCell ref="M23:AF23"/>
    <mergeCell ref="AG23:AW23"/>
    <mergeCell ref="AX23:BA23"/>
    <mergeCell ref="BB25:BN25"/>
    <mergeCell ref="A24:D24"/>
    <mergeCell ref="E24:H24"/>
    <mergeCell ref="BB26:BN26"/>
    <mergeCell ref="A25:D25"/>
    <mergeCell ref="E25:H25"/>
    <mergeCell ref="I25:L25"/>
    <mergeCell ref="M25:AF25"/>
    <mergeCell ref="AG25:AW25"/>
    <mergeCell ref="AX25:BA25"/>
    <mergeCell ref="A26:D26"/>
    <mergeCell ref="E26:H26"/>
    <mergeCell ref="I26:L26"/>
    <mergeCell ref="M26:AF26"/>
    <mergeCell ref="AG26:AW26"/>
    <mergeCell ref="AX26:BA26"/>
    <mergeCell ref="BB24:BN24"/>
    <mergeCell ref="BB27:BN27"/>
    <mergeCell ref="BB28:BN28"/>
    <mergeCell ref="A27:D27"/>
    <mergeCell ref="E27:H27"/>
    <mergeCell ref="I27:L27"/>
    <mergeCell ref="M27:AF27"/>
    <mergeCell ref="E28:H28"/>
    <mergeCell ref="AG27:AW27"/>
    <mergeCell ref="AX27:BA27"/>
    <mergeCell ref="A28:D28"/>
    <mergeCell ref="AG28:AW28"/>
    <mergeCell ref="AX28:BA28"/>
    <mergeCell ref="I28:L28"/>
    <mergeCell ref="M28:AF28"/>
    <mergeCell ref="W33:AF34"/>
    <mergeCell ref="AG33:AJ34"/>
    <mergeCell ref="AK33:AN34"/>
    <mergeCell ref="AO33:AR34"/>
    <mergeCell ref="W29:AR29"/>
    <mergeCell ref="AS29:BA29"/>
    <mergeCell ref="BB29:BN29"/>
    <mergeCell ref="A30:V31"/>
    <mergeCell ref="W30:AR31"/>
    <mergeCell ref="AS30:BA31"/>
    <mergeCell ref="BB30:BN31"/>
    <mergeCell ref="A29:V29"/>
    <mergeCell ref="W32:AF32"/>
    <mergeCell ref="AG32:AJ32"/>
    <mergeCell ref="AK32:AN32"/>
    <mergeCell ref="AO32:AR32"/>
    <mergeCell ref="AS32:BH32"/>
    <mergeCell ref="A37:V38"/>
    <mergeCell ref="BI38:BK38"/>
    <mergeCell ref="AS36:AY37"/>
    <mergeCell ref="AZ36:BD37"/>
    <mergeCell ref="AS38:AV38"/>
    <mergeCell ref="AS39:AV40"/>
    <mergeCell ref="AZ38:BH38"/>
    <mergeCell ref="AZ39:BH40"/>
    <mergeCell ref="AW38:AY38"/>
    <mergeCell ref="AW39:AY40"/>
    <mergeCell ref="A32:V36"/>
    <mergeCell ref="W35:AR35"/>
    <mergeCell ref="BE35:BN35"/>
    <mergeCell ref="BI32:BN32"/>
    <mergeCell ref="A39:V40"/>
    <mergeCell ref="BL39:BN40"/>
    <mergeCell ref="AS33:BH34"/>
    <mergeCell ref="AS35:AY35"/>
    <mergeCell ref="BI33:BN34"/>
    <mergeCell ref="AZ35:BD35"/>
    <mergeCell ref="W39:AR40"/>
    <mergeCell ref="BI39:BK40"/>
    <mergeCell ref="W36:AR38"/>
    <mergeCell ref="BE36:BN37"/>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78"/>
  <sheetViews>
    <sheetView view="pageBreakPreview" zoomScale="89" zoomScaleNormal="85" zoomScaleSheetLayoutView="89" workbookViewId="0">
      <selection activeCell="A4" sqref="A4:G4"/>
    </sheetView>
  </sheetViews>
  <sheetFormatPr baseColWidth="10" defaultColWidth="10.625" defaultRowHeight="14.25" x14ac:dyDescent="0.2"/>
  <cols>
    <col min="1" max="66" width="1.25" style="2" customWidth="1"/>
    <col min="67" max="16384" width="10.625" style="2"/>
  </cols>
  <sheetData>
    <row r="1" spans="1:256" s="13" customFormat="1" ht="12.75" customHeight="1" x14ac:dyDescent="0.2">
      <c r="A1" s="284">
        <v>1</v>
      </c>
      <c r="B1" s="285"/>
      <c r="C1" s="285"/>
      <c r="D1" s="285">
        <v>2</v>
      </c>
      <c r="E1" s="285"/>
      <c r="F1" s="285"/>
      <c r="G1" s="285"/>
      <c r="H1" s="285">
        <v>3</v>
      </c>
      <c r="I1" s="285"/>
      <c r="J1" s="285"/>
      <c r="K1" s="285"/>
      <c r="L1" s="285">
        <v>4</v>
      </c>
      <c r="M1" s="285"/>
      <c r="N1" s="285"/>
      <c r="O1" s="285"/>
      <c r="P1" s="285"/>
      <c r="Q1" s="285"/>
      <c r="R1" s="285"/>
      <c r="S1" s="285"/>
      <c r="T1" s="285"/>
      <c r="U1" s="285"/>
      <c r="V1" s="285"/>
      <c r="W1" s="285"/>
      <c r="X1" s="285"/>
      <c r="Y1" s="285"/>
      <c r="Z1" s="285"/>
      <c r="AA1" s="285"/>
      <c r="AB1" s="285"/>
      <c r="AC1" s="285"/>
      <c r="AD1" s="285"/>
      <c r="AE1" s="285"/>
      <c r="AF1" s="285"/>
      <c r="AG1" s="285"/>
      <c r="AH1" s="285">
        <v>5</v>
      </c>
      <c r="AI1" s="285"/>
      <c r="AJ1" s="285"/>
      <c r="AK1" s="285"/>
      <c r="AL1" s="285"/>
      <c r="AM1" s="285"/>
      <c r="AN1" s="285"/>
      <c r="AO1" s="285"/>
      <c r="AP1" s="285"/>
      <c r="AQ1" s="285"/>
      <c r="AR1" s="285"/>
      <c r="AS1" s="285"/>
      <c r="AT1" s="285"/>
      <c r="AU1" s="285"/>
      <c r="AV1" s="285"/>
      <c r="AW1" s="285"/>
      <c r="AX1" s="285"/>
      <c r="AY1" s="285"/>
      <c r="AZ1" s="285"/>
      <c r="BA1" s="285"/>
      <c r="BB1" s="285"/>
      <c r="BC1" s="285"/>
      <c r="BD1" s="285"/>
      <c r="BE1" s="285">
        <v>6</v>
      </c>
      <c r="BF1" s="285"/>
      <c r="BG1" s="285"/>
      <c r="BH1" s="285"/>
      <c r="BI1" s="285"/>
      <c r="BJ1" s="285"/>
      <c r="BK1" s="285"/>
      <c r="BL1" s="285"/>
      <c r="BM1" s="285"/>
      <c r="BN1" s="290"/>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86" t="str">
        <f>Eingabe!A7</f>
        <v>Lfd. 
Nr.</v>
      </c>
      <c r="B2" s="235"/>
      <c r="C2" s="235"/>
      <c r="D2" s="235" t="str">
        <f>Eingabe!B7</f>
        <v>Stück-
zahl</v>
      </c>
      <c r="E2" s="235"/>
      <c r="F2" s="235"/>
      <c r="G2" s="235"/>
      <c r="H2" s="235" t="str">
        <f>Eingabe!C7</f>
        <v>Ein-
heit</v>
      </c>
      <c r="I2" s="235"/>
      <c r="J2" s="235"/>
      <c r="K2" s="235"/>
      <c r="L2" s="287" t="str">
        <f>Eingabe!D7</f>
        <v>Benennung</v>
      </c>
      <c r="M2" s="287"/>
      <c r="N2" s="287"/>
      <c r="O2" s="287"/>
      <c r="P2" s="287"/>
      <c r="Q2" s="287"/>
      <c r="R2" s="287"/>
      <c r="S2" s="287"/>
      <c r="T2" s="287"/>
      <c r="U2" s="287"/>
      <c r="V2" s="287"/>
      <c r="W2" s="287"/>
      <c r="X2" s="287"/>
      <c r="Y2" s="287"/>
      <c r="Z2" s="287"/>
      <c r="AA2" s="287"/>
      <c r="AB2" s="287"/>
      <c r="AC2" s="287"/>
      <c r="AD2" s="287"/>
      <c r="AE2" s="287"/>
      <c r="AF2" s="287"/>
      <c r="AG2" s="287"/>
      <c r="AH2" s="287" t="str">
        <f>Eingabe!F7&amp;" / "&amp;Eingabe!G7</f>
        <v>Lieferant / Bestellnummer</v>
      </c>
      <c r="AI2" s="287"/>
      <c r="AJ2" s="287"/>
      <c r="AK2" s="287"/>
      <c r="AL2" s="287"/>
      <c r="AM2" s="287"/>
      <c r="AN2" s="287"/>
      <c r="AO2" s="287"/>
      <c r="AP2" s="287"/>
      <c r="AQ2" s="287"/>
      <c r="AR2" s="287"/>
      <c r="AS2" s="287"/>
      <c r="AT2" s="287"/>
      <c r="AU2" s="287"/>
      <c r="AV2" s="287"/>
      <c r="AW2" s="287"/>
      <c r="AX2" s="287"/>
      <c r="AY2" s="287"/>
      <c r="AZ2" s="287"/>
      <c r="BA2" s="287"/>
      <c r="BB2" s="287"/>
      <c r="BC2" s="287"/>
      <c r="BD2" s="287"/>
      <c r="BE2" s="287" t="s">
        <v>29</v>
      </c>
      <c r="BF2" s="287"/>
      <c r="BG2" s="287"/>
      <c r="BH2" s="287"/>
      <c r="BI2" s="287"/>
      <c r="BJ2" s="287"/>
      <c r="BK2" s="287"/>
      <c r="BL2" s="287"/>
      <c r="BM2" s="287"/>
      <c r="BN2" s="294"/>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31"/>
      <c r="B3" s="229"/>
      <c r="C3" s="229"/>
      <c r="D3" s="229"/>
      <c r="E3" s="229"/>
      <c r="F3" s="229"/>
      <c r="G3" s="229"/>
      <c r="H3" s="229"/>
      <c r="I3" s="229"/>
      <c r="J3" s="229"/>
      <c r="K3" s="229"/>
      <c r="L3" s="288"/>
      <c r="M3" s="288"/>
      <c r="N3" s="288"/>
      <c r="O3" s="288"/>
      <c r="P3" s="288"/>
      <c r="Q3" s="288"/>
      <c r="R3" s="288"/>
      <c r="S3" s="288"/>
      <c r="T3" s="288"/>
      <c r="U3" s="288"/>
      <c r="V3" s="288"/>
      <c r="W3" s="288"/>
      <c r="X3" s="288"/>
      <c r="Y3" s="288"/>
      <c r="Z3" s="288"/>
      <c r="AA3" s="288"/>
      <c r="AB3" s="288"/>
      <c r="AC3" s="288"/>
      <c r="AD3" s="288"/>
      <c r="AE3" s="288"/>
      <c r="AF3" s="288"/>
      <c r="AG3" s="288"/>
      <c r="AH3" s="288"/>
      <c r="AI3" s="288"/>
      <c r="AJ3" s="288"/>
      <c r="AK3" s="288"/>
      <c r="AL3" s="288"/>
      <c r="AM3" s="288"/>
      <c r="AN3" s="288"/>
      <c r="AO3" s="288"/>
      <c r="AP3" s="288"/>
      <c r="AQ3" s="288"/>
      <c r="AR3" s="288"/>
      <c r="AS3" s="288"/>
      <c r="AT3" s="288"/>
      <c r="AU3" s="288"/>
      <c r="AV3" s="288"/>
      <c r="AW3" s="288"/>
      <c r="AX3" s="288"/>
      <c r="AY3" s="288"/>
      <c r="AZ3" s="288"/>
      <c r="BA3" s="288"/>
      <c r="BB3" s="288"/>
      <c r="BC3" s="288"/>
      <c r="BD3" s="288"/>
      <c r="BE3" s="288" t="s">
        <v>30</v>
      </c>
      <c r="BF3" s="288"/>
      <c r="BG3" s="288"/>
      <c r="BH3" s="288"/>
      <c r="BI3" s="288"/>
      <c r="BJ3" s="288" t="s">
        <v>31</v>
      </c>
      <c r="BK3" s="288"/>
      <c r="BL3" s="288"/>
      <c r="BM3" s="288"/>
      <c r="BN3" s="293"/>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26">
        <f>IF(Eingabe!A8="","",Eingabe!A8)</f>
        <v>1</v>
      </c>
      <c r="B4" s="227"/>
      <c r="C4" s="227"/>
      <c r="D4" s="227">
        <f>IF(Eingabe!B8="","",Eingabe!B8)</f>
        <v>3</v>
      </c>
      <c r="E4" s="227"/>
      <c r="F4" s="227"/>
      <c r="G4" s="227"/>
      <c r="H4" s="223" t="str">
        <f>IF(Eingabe!C8="","",Eingabe!C8)</f>
        <v>STK</v>
      </c>
      <c r="I4" s="223"/>
      <c r="J4" s="223"/>
      <c r="K4" s="223"/>
      <c r="L4" s="245" t="str">
        <f>IF(Eingabe!D8="","",Eingabe!D8)</f>
        <v>WID 22R</v>
      </c>
      <c r="M4" s="245"/>
      <c r="N4" s="245"/>
      <c r="O4" s="245"/>
      <c r="P4" s="245"/>
      <c r="Q4" s="245"/>
      <c r="R4" s="245"/>
      <c r="S4" s="245"/>
      <c r="T4" s="245"/>
      <c r="U4" s="245"/>
      <c r="V4" s="245"/>
      <c r="W4" s="245"/>
      <c r="X4" s="245"/>
      <c r="Y4" s="245"/>
      <c r="Z4" s="245"/>
      <c r="AA4" s="245"/>
      <c r="AB4" s="245"/>
      <c r="AC4" s="245"/>
      <c r="AD4" s="245"/>
      <c r="AE4" s="245"/>
      <c r="AF4" s="245"/>
      <c r="AG4" s="245"/>
      <c r="AH4" s="289" t="str">
        <f>IF(Eingabe!F8&amp;Eingabe!G8="","",Eingabe!F8&amp;"  /  "&amp;Eingabe!G8)</f>
        <v>mercateo.at  /  B1313-728489</v>
      </c>
      <c r="AI4" s="289"/>
      <c r="AJ4" s="289"/>
      <c r="AK4" s="289"/>
      <c r="AL4" s="289"/>
      <c r="AM4" s="289"/>
      <c r="AN4" s="289"/>
      <c r="AO4" s="289"/>
      <c r="AP4" s="289"/>
      <c r="AQ4" s="289"/>
      <c r="AR4" s="289"/>
      <c r="AS4" s="289"/>
      <c r="AT4" s="289"/>
      <c r="AU4" s="289"/>
      <c r="AV4" s="289"/>
      <c r="AW4" s="289"/>
      <c r="AX4" s="289"/>
      <c r="AY4" s="289"/>
      <c r="AZ4" s="289"/>
      <c r="BA4" s="289"/>
      <c r="BB4" s="289"/>
      <c r="BC4" s="289"/>
      <c r="BD4" s="289"/>
      <c r="BE4" s="291">
        <f>IF(Eingabe!I8="","",Eingabe!I8)</f>
        <v>6.3E-3</v>
      </c>
      <c r="BF4" s="291"/>
      <c r="BG4" s="291"/>
      <c r="BH4" s="291"/>
      <c r="BI4" s="291"/>
      <c r="BJ4" s="291">
        <f>IF(Eingabe!I8="","",Eingabe!I8*Eingabe!B8)</f>
        <v>1.89E-2</v>
      </c>
      <c r="BK4" s="291"/>
      <c r="BL4" s="291"/>
      <c r="BM4" s="291"/>
      <c r="BN4" s="292"/>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22">
        <f>IF(Eingabe!A9="","",Eingabe!A9)</f>
        <v>2</v>
      </c>
      <c r="B5" s="145"/>
      <c r="C5" s="145"/>
      <c r="D5" s="145">
        <f>IF(Eingabe!B9="","",Eingabe!B9)</f>
        <v>4</v>
      </c>
      <c r="E5" s="145"/>
      <c r="F5" s="145"/>
      <c r="G5" s="145"/>
      <c r="H5" s="137" t="str">
        <f>IF(Eingabe!C9="","",Eingabe!C9)</f>
        <v>STK</v>
      </c>
      <c r="I5" s="137"/>
      <c r="J5" s="137"/>
      <c r="K5" s="137"/>
      <c r="L5" s="248" t="str">
        <f>IF(Eingabe!D9="","",Eingabe!D9)</f>
        <v>WID 100R</v>
      </c>
      <c r="M5" s="249"/>
      <c r="N5" s="249"/>
      <c r="O5" s="249"/>
      <c r="P5" s="249"/>
      <c r="Q5" s="249"/>
      <c r="R5" s="249"/>
      <c r="S5" s="249"/>
      <c r="T5" s="249"/>
      <c r="U5" s="249"/>
      <c r="V5" s="249"/>
      <c r="W5" s="249"/>
      <c r="X5" s="249"/>
      <c r="Y5" s="249"/>
      <c r="Z5" s="249"/>
      <c r="AA5" s="249"/>
      <c r="AB5" s="249"/>
      <c r="AC5" s="249"/>
      <c r="AD5" s="249"/>
      <c r="AE5" s="249"/>
      <c r="AF5" s="249"/>
      <c r="AG5" s="250"/>
      <c r="AH5" s="251" t="str">
        <f>IF(Eingabe!F9&amp;Eingabe!G9="","",Eingabe!F9&amp;"  /  "&amp;Eingabe!G9)</f>
        <v>mercateo.at  /  B1314-213-2143</v>
      </c>
      <c r="AI5" s="251"/>
      <c r="AJ5" s="251"/>
      <c r="AK5" s="251"/>
      <c r="AL5" s="251"/>
      <c r="AM5" s="251"/>
      <c r="AN5" s="251"/>
      <c r="AO5" s="251"/>
      <c r="AP5" s="251"/>
      <c r="AQ5" s="251"/>
      <c r="AR5" s="251"/>
      <c r="AS5" s="251"/>
      <c r="AT5" s="251"/>
      <c r="AU5" s="251"/>
      <c r="AV5" s="251"/>
      <c r="AW5" s="251"/>
      <c r="AX5" s="251"/>
      <c r="AY5" s="251"/>
      <c r="AZ5" s="251"/>
      <c r="BA5" s="251"/>
      <c r="BB5" s="251"/>
      <c r="BC5" s="251"/>
      <c r="BD5" s="251"/>
      <c r="BE5" s="246">
        <f>IF(Eingabe!I9="","",Eingabe!I9)</f>
        <v>9.1999999999999998E-3</v>
      </c>
      <c r="BF5" s="246"/>
      <c r="BG5" s="246"/>
      <c r="BH5" s="246"/>
      <c r="BI5" s="246"/>
      <c r="BJ5" s="246">
        <f>IF(Eingabe!I9="","",Eingabe!I9*Eingabe!B9)</f>
        <v>3.6799999999999999E-2</v>
      </c>
      <c r="BK5" s="246"/>
      <c r="BL5" s="246"/>
      <c r="BM5" s="246"/>
      <c r="BN5" s="247"/>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22">
        <f>IF(Eingabe!A10="","",Eingabe!A10)</f>
        <v>3</v>
      </c>
      <c r="B6" s="145"/>
      <c r="C6" s="145"/>
      <c r="D6" s="145">
        <f>IF(Eingabe!B10="","",Eingabe!B10)</f>
        <v>1</v>
      </c>
      <c r="E6" s="145"/>
      <c r="F6" s="145"/>
      <c r="G6" s="145"/>
      <c r="H6" s="137" t="str">
        <f>IF(Eingabe!C10="","",Eingabe!C10)</f>
        <v>STK</v>
      </c>
      <c r="I6" s="137"/>
      <c r="J6" s="137"/>
      <c r="K6" s="137"/>
      <c r="L6" s="248" t="str">
        <f>IF(Eingabe!D10="","",Eingabe!D10)</f>
        <v>WID 110R</v>
      </c>
      <c r="M6" s="249"/>
      <c r="N6" s="249"/>
      <c r="O6" s="249"/>
      <c r="P6" s="249"/>
      <c r="Q6" s="249"/>
      <c r="R6" s="249"/>
      <c r="S6" s="249"/>
      <c r="T6" s="249"/>
      <c r="U6" s="249"/>
      <c r="V6" s="249"/>
      <c r="W6" s="249"/>
      <c r="X6" s="249"/>
      <c r="Y6" s="249"/>
      <c r="Z6" s="249"/>
      <c r="AA6" s="249"/>
      <c r="AB6" s="249"/>
      <c r="AC6" s="249"/>
      <c r="AD6" s="249"/>
      <c r="AE6" s="249"/>
      <c r="AF6" s="249"/>
      <c r="AG6" s="250"/>
      <c r="AH6" s="251" t="str">
        <f>IF(Eingabe!F10&amp;Eingabe!G10="","",Eingabe!F10&amp;"  /  "&amp;Eingabe!G10)</f>
        <v>mercateo.at  /  B1313-713271</v>
      </c>
      <c r="AI6" s="251"/>
      <c r="AJ6" s="251"/>
      <c r="AK6" s="251"/>
      <c r="AL6" s="251"/>
      <c r="AM6" s="251"/>
      <c r="AN6" s="251"/>
      <c r="AO6" s="251"/>
      <c r="AP6" s="251"/>
      <c r="AQ6" s="251"/>
      <c r="AR6" s="251"/>
      <c r="AS6" s="251"/>
      <c r="AT6" s="251"/>
      <c r="AU6" s="251"/>
      <c r="AV6" s="251"/>
      <c r="AW6" s="251"/>
      <c r="AX6" s="251"/>
      <c r="AY6" s="251"/>
      <c r="AZ6" s="251"/>
      <c r="BA6" s="251"/>
      <c r="BB6" s="251"/>
      <c r="BC6" s="251"/>
      <c r="BD6" s="251"/>
      <c r="BE6" s="246">
        <f>IF(Eingabe!I10="","",Eingabe!I10)</f>
        <v>4.1000000000000003E-3</v>
      </c>
      <c r="BF6" s="246"/>
      <c r="BG6" s="246"/>
      <c r="BH6" s="246"/>
      <c r="BI6" s="246"/>
      <c r="BJ6" s="246">
        <f>IF(Eingabe!I10="","",Eingabe!I10*Eingabe!B10)</f>
        <v>4.1000000000000003E-3</v>
      </c>
      <c r="BK6" s="246"/>
      <c r="BL6" s="246"/>
      <c r="BM6" s="246"/>
      <c r="BN6" s="247"/>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22">
        <f>IF(Eingabe!A11="","",Eingabe!A11)</f>
        <v>4</v>
      </c>
      <c r="B7" s="145"/>
      <c r="C7" s="145"/>
      <c r="D7" s="145">
        <f>IF(Eingabe!B11="","",Eingabe!B11)</f>
        <v>8</v>
      </c>
      <c r="E7" s="145"/>
      <c r="F7" s="145"/>
      <c r="G7" s="145"/>
      <c r="H7" s="137" t="str">
        <f>IF(Eingabe!C11="","",Eingabe!C11)</f>
        <v>STK</v>
      </c>
      <c r="I7" s="137"/>
      <c r="J7" s="137"/>
      <c r="K7" s="137"/>
      <c r="L7" s="248" t="str">
        <f>IF(Eingabe!D11="","",Eingabe!D11)</f>
        <v>WID 120R</v>
      </c>
      <c r="M7" s="249"/>
      <c r="N7" s="249"/>
      <c r="O7" s="249"/>
      <c r="P7" s="249"/>
      <c r="Q7" s="249"/>
      <c r="R7" s="249"/>
      <c r="S7" s="249"/>
      <c r="T7" s="249"/>
      <c r="U7" s="249"/>
      <c r="V7" s="249"/>
      <c r="W7" s="249"/>
      <c r="X7" s="249"/>
      <c r="Y7" s="249"/>
      <c r="Z7" s="249"/>
      <c r="AA7" s="249"/>
      <c r="AB7" s="249"/>
      <c r="AC7" s="249"/>
      <c r="AD7" s="249"/>
      <c r="AE7" s="249"/>
      <c r="AF7" s="249"/>
      <c r="AG7" s="250"/>
      <c r="AH7" s="251" t="str">
        <f>IF(Eingabe!F11&amp;Eingabe!G11="","",Eingabe!F11&amp;"  /  "&amp;Eingabe!G11)</f>
        <v>mercateo.at  /  B1313-728507</v>
      </c>
      <c r="AI7" s="251"/>
      <c r="AJ7" s="251"/>
      <c r="AK7" s="251"/>
      <c r="AL7" s="251"/>
      <c r="AM7" s="251"/>
      <c r="AN7" s="251"/>
      <c r="AO7" s="251"/>
      <c r="AP7" s="251"/>
      <c r="AQ7" s="251"/>
      <c r="AR7" s="251"/>
      <c r="AS7" s="251"/>
      <c r="AT7" s="251"/>
      <c r="AU7" s="251"/>
      <c r="AV7" s="251"/>
      <c r="AW7" s="251"/>
      <c r="AX7" s="251"/>
      <c r="AY7" s="251"/>
      <c r="AZ7" s="251"/>
      <c r="BA7" s="251"/>
      <c r="BB7" s="251"/>
      <c r="BC7" s="251"/>
      <c r="BD7" s="251"/>
      <c r="BE7" s="246">
        <f>IF(Eingabe!I11="","",Eingabe!I11)</f>
        <v>6.3E-3</v>
      </c>
      <c r="BF7" s="246"/>
      <c r="BG7" s="246"/>
      <c r="BH7" s="246"/>
      <c r="BI7" s="246"/>
      <c r="BJ7" s="246">
        <f>IF(Eingabe!I11="","",Eingabe!I11*Eingabe!B11)</f>
        <v>5.04E-2</v>
      </c>
      <c r="BK7" s="246"/>
      <c r="BL7" s="246"/>
      <c r="BM7" s="246"/>
      <c r="BN7" s="247"/>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22">
        <f>IF(Eingabe!A12="","",Eingabe!A12)</f>
        <v>5</v>
      </c>
      <c r="B8" s="145"/>
      <c r="C8" s="145"/>
      <c r="D8" s="145">
        <f>IF(Eingabe!B12="","",Eingabe!B12)</f>
        <v>8</v>
      </c>
      <c r="E8" s="145"/>
      <c r="F8" s="145"/>
      <c r="G8" s="145"/>
      <c r="H8" s="137" t="str">
        <f>IF(Eingabe!C12="","",Eingabe!C12)</f>
        <v>STK</v>
      </c>
      <c r="I8" s="137"/>
      <c r="J8" s="137"/>
      <c r="K8" s="137"/>
      <c r="L8" s="248" t="str">
        <f>IF(Eingabe!D12="","",Eingabe!D12)</f>
        <v>WID 330R</v>
      </c>
      <c r="M8" s="249"/>
      <c r="N8" s="249"/>
      <c r="O8" s="249"/>
      <c r="P8" s="249"/>
      <c r="Q8" s="249"/>
      <c r="R8" s="249"/>
      <c r="S8" s="249"/>
      <c r="T8" s="249"/>
      <c r="U8" s="249"/>
      <c r="V8" s="249"/>
      <c r="W8" s="249"/>
      <c r="X8" s="249"/>
      <c r="Y8" s="249"/>
      <c r="Z8" s="249"/>
      <c r="AA8" s="249"/>
      <c r="AB8" s="249"/>
      <c r="AC8" s="249"/>
      <c r="AD8" s="249"/>
      <c r="AE8" s="249"/>
      <c r="AF8" s="249"/>
      <c r="AG8" s="250"/>
      <c r="AH8" s="251" t="str">
        <f>IF(Eingabe!F12&amp;Eingabe!G12="","",Eingabe!F12&amp;"  /  "&amp;Eingabe!G12)</f>
        <v>mercateo.at  /  B1313-713282</v>
      </c>
      <c r="AI8" s="251"/>
      <c r="AJ8" s="251"/>
      <c r="AK8" s="251"/>
      <c r="AL8" s="251"/>
      <c r="AM8" s="251"/>
      <c r="AN8" s="251"/>
      <c r="AO8" s="251"/>
      <c r="AP8" s="251"/>
      <c r="AQ8" s="251"/>
      <c r="AR8" s="251"/>
      <c r="AS8" s="251"/>
      <c r="AT8" s="251"/>
      <c r="AU8" s="251"/>
      <c r="AV8" s="251"/>
      <c r="AW8" s="251"/>
      <c r="AX8" s="251"/>
      <c r="AY8" s="251"/>
      <c r="AZ8" s="251"/>
      <c r="BA8" s="251"/>
      <c r="BB8" s="251"/>
      <c r="BC8" s="251"/>
      <c r="BD8" s="251"/>
      <c r="BE8" s="246">
        <f>IF(Eingabe!I12="","",Eingabe!I12)</f>
        <v>4.1000000000000003E-3</v>
      </c>
      <c r="BF8" s="246"/>
      <c r="BG8" s="246"/>
      <c r="BH8" s="246"/>
      <c r="BI8" s="246"/>
      <c r="BJ8" s="246">
        <f>IF(Eingabe!I12="","",Eingabe!I12*Eingabe!B12)</f>
        <v>3.2800000000000003E-2</v>
      </c>
      <c r="BK8" s="246"/>
      <c r="BL8" s="246"/>
      <c r="BM8" s="246"/>
      <c r="BN8" s="247"/>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22" t="str">
        <f>IF(Eingabe!A13="","",Eingabe!A13)</f>
        <v/>
      </c>
      <c r="B9" s="145"/>
      <c r="C9" s="145"/>
      <c r="D9" s="145" t="str">
        <f>IF(Eingabe!B13="","",Eingabe!B13)</f>
        <v/>
      </c>
      <c r="E9" s="145"/>
      <c r="F9" s="145"/>
      <c r="G9" s="145"/>
      <c r="H9" s="137" t="str">
        <f>IF(Eingabe!C13="","",Eingabe!C13)</f>
        <v>FF</v>
      </c>
      <c r="I9" s="137"/>
      <c r="J9" s="137"/>
      <c r="K9" s="137"/>
      <c r="L9" s="248" t="str">
        <f>IF(Eingabe!D13="","",Eingabe!D13)</f>
        <v>"</v>
      </c>
      <c r="M9" s="249"/>
      <c r="N9" s="249"/>
      <c r="O9" s="249"/>
      <c r="P9" s="249"/>
      <c r="Q9" s="249"/>
      <c r="R9" s="249"/>
      <c r="S9" s="249"/>
      <c r="T9" s="249"/>
      <c r="U9" s="249"/>
      <c r="V9" s="249"/>
      <c r="W9" s="249"/>
      <c r="X9" s="249"/>
      <c r="Y9" s="249"/>
      <c r="Z9" s="249"/>
      <c r="AA9" s="249"/>
      <c r="AB9" s="249"/>
      <c r="AC9" s="249"/>
      <c r="AD9" s="249"/>
      <c r="AE9" s="249"/>
      <c r="AF9" s="249"/>
      <c r="AG9" s="250"/>
      <c r="AH9" s="251" t="str">
        <f>IF(Eingabe!F13&amp;Eingabe!G13="","",Eingabe!F13&amp;"  /  "&amp;Eingabe!G13)</f>
        <v/>
      </c>
      <c r="AI9" s="251"/>
      <c r="AJ9" s="251"/>
      <c r="AK9" s="251"/>
      <c r="AL9" s="251"/>
      <c r="AM9" s="251"/>
      <c r="AN9" s="251"/>
      <c r="AO9" s="251"/>
      <c r="AP9" s="251"/>
      <c r="AQ9" s="251"/>
      <c r="AR9" s="251"/>
      <c r="AS9" s="251"/>
      <c r="AT9" s="251"/>
      <c r="AU9" s="251"/>
      <c r="AV9" s="251"/>
      <c r="AW9" s="251"/>
      <c r="AX9" s="251"/>
      <c r="AY9" s="251"/>
      <c r="AZ9" s="251"/>
      <c r="BA9" s="251"/>
      <c r="BB9" s="251"/>
      <c r="BC9" s="251"/>
      <c r="BD9" s="251"/>
      <c r="BE9" s="246" t="str">
        <f>IF(Eingabe!I13="","",Eingabe!I13)</f>
        <v/>
      </c>
      <c r="BF9" s="246"/>
      <c r="BG9" s="246"/>
      <c r="BH9" s="246"/>
      <c r="BI9" s="246"/>
      <c r="BJ9" s="246" t="str">
        <f>IF(Eingabe!I13="","",Eingabe!I13*Eingabe!B13)</f>
        <v/>
      </c>
      <c r="BK9" s="246"/>
      <c r="BL9" s="246"/>
      <c r="BM9" s="246"/>
      <c r="BN9" s="247"/>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22">
        <f>IF(Eingabe!A14="","",Eingabe!A14)</f>
        <v>6</v>
      </c>
      <c r="B10" s="145"/>
      <c r="C10" s="145"/>
      <c r="D10" s="145">
        <f>IF(Eingabe!B14="","",Eingabe!B14)</f>
        <v>34</v>
      </c>
      <c r="E10" s="145"/>
      <c r="F10" s="145"/>
      <c r="G10" s="145"/>
      <c r="H10" s="137" t="str">
        <f>IF(Eingabe!C14="","",Eingabe!C14)</f>
        <v>STK</v>
      </c>
      <c r="I10" s="137"/>
      <c r="J10" s="137"/>
      <c r="K10" s="137"/>
      <c r="L10" s="248" t="str">
        <f>IF(Eingabe!D14="","",Eingabe!D14)</f>
        <v>WID 330R</v>
      </c>
      <c r="M10" s="249"/>
      <c r="N10" s="249"/>
      <c r="O10" s="249"/>
      <c r="P10" s="249"/>
      <c r="Q10" s="249"/>
      <c r="R10" s="249"/>
      <c r="S10" s="249"/>
      <c r="T10" s="249"/>
      <c r="U10" s="249"/>
      <c r="V10" s="249"/>
      <c r="W10" s="249"/>
      <c r="X10" s="249"/>
      <c r="Y10" s="249"/>
      <c r="Z10" s="249"/>
      <c r="AA10" s="249"/>
      <c r="AB10" s="249"/>
      <c r="AC10" s="249"/>
      <c r="AD10" s="249"/>
      <c r="AE10" s="249"/>
      <c r="AF10" s="249"/>
      <c r="AG10" s="250"/>
      <c r="AH10" s="251" t="str">
        <f>IF(Eingabe!F14&amp;Eingabe!G14="","",Eingabe!F14&amp;"  /  "&amp;Eingabe!G14)</f>
        <v>mercateo.at  /  B1313-728517</v>
      </c>
      <c r="AI10" s="251"/>
      <c r="AJ10" s="251"/>
      <c r="AK10" s="251"/>
      <c r="AL10" s="251"/>
      <c r="AM10" s="251"/>
      <c r="AN10" s="251"/>
      <c r="AO10" s="251"/>
      <c r="AP10" s="251"/>
      <c r="AQ10" s="251"/>
      <c r="AR10" s="251"/>
      <c r="AS10" s="251"/>
      <c r="AT10" s="251"/>
      <c r="AU10" s="251"/>
      <c r="AV10" s="251"/>
      <c r="AW10" s="251"/>
      <c r="AX10" s="251"/>
      <c r="AY10" s="251"/>
      <c r="AZ10" s="251"/>
      <c r="BA10" s="251"/>
      <c r="BB10" s="251"/>
      <c r="BC10" s="251"/>
      <c r="BD10" s="251"/>
      <c r="BE10" s="246">
        <f>IF(Eingabe!I14="","",Eingabe!I14)</f>
        <v>6.3E-3</v>
      </c>
      <c r="BF10" s="246"/>
      <c r="BG10" s="246"/>
      <c r="BH10" s="246"/>
      <c r="BI10" s="246"/>
      <c r="BJ10" s="246">
        <f>IF(Eingabe!I14="","",Eingabe!I14*Eingabe!B14)</f>
        <v>0.2142</v>
      </c>
      <c r="BK10" s="246"/>
      <c r="BL10" s="246"/>
      <c r="BM10" s="246"/>
      <c r="BN10" s="247"/>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22" t="str">
        <f>IF(Eingabe!A15="","",Eingabe!A15)</f>
        <v/>
      </c>
      <c r="B11" s="145"/>
      <c r="C11" s="145"/>
      <c r="D11" s="145" t="str">
        <f>IF(Eingabe!B15="","",Eingabe!B15)</f>
        <v/>
      </c>
      <c r="E11" s="145"/>
      <c r="F11" s="145"/>
      <c r="G11" s="145"/>
      <c r="H11" s="137" t="str">
        <f>IF(Eingabe!C15="","",Eingabe!C15)</f>
        <v>FF</v>
      </c>
      <c r="I11" s="137"/>
      <c r="J11" s="137"/>
      <c r="K11" s="137"/>
      <c r="L11" s="248" t="str">
        <f>IF(Eingabe!D15="","",Eingabe!D15)</f>
        <v>"</v>
      </c>
      <c r="M11" s="249"/>
      <c r="N11" s="249"/>
      <c r="O11" s="249"/>
      <c r="P11" s="249"/>
      <c r="Q11" s="249"/>
      <c r="R11" s="249"/>
      <c r="S11" s="249"/>
      <c r="T11" s="249"/>
      <c r="U11" s="249"/>
      <c r="V11" s="249"/>
      <c r="W11" s="249"/>
      <c r="X11" s="249"/>
      <c r="Y11" s="249"/>
      <c r="Z11" s="249"/>
      <c r="AA11" s="249"/>
      <c r="AB11" s="249"/>
      <c r="AC11" s="249"/>
      <c r="AD11" s="249"/>
      <c r="AE11" s="249"/>
      <c r="AF11" s="249"/>
      <c r="AG11" s="250"/>
      <c r="AH11" s="251" t="str">
        <f>IF(Eingabe!F15&amp;Eingabe!G15="","",Eingabe!F15&amp;"  /  "&amp;Eingabe!G15)</f>
        <v/>
      </c>
      <c r="AI11" s="251"/>
      <c r="AJ11" s="251"/>
      <c r="AK11" s="251"/>
      <c r="AL11" s="251"/>
      <c r="AM11" s="251"/>
      <c r="AN11" s="251"/>
      <c r="AO11" s="251"/>
      <c r="AP11" s="251"/>
      <c r="AQ11" s="251"/>
      <c r="AR11" s="251"/>
      <c r="AS11" s="251"/>
      <c r="AT11" s="251"/>
      <c r="AU11" s="251"/>
      <c r="AV11" s="251"/>
      <c r="AW11" s="251"/>
      <c r="AX11" s="251"/>
      <c r="AY11" s="251"/>
      <c r="AZ11" s="251"/>
      <c r="BA11" s="251"/>
      <c r="BB11" s="251"/>
      <c r="BC11" s="251"/>
      <c r="BD11" s="251"/>
      <c r="BE11" s="246" t="str">
        <f>IF(Eingabe!I15="","",Eingabe!I15)</f>
        <v/>
      </c>
      <c r="BF11" s="246"/>
      <c r="BG11" s="246"/>
      <c r="BH11" s="246"/>
      <c r="BI11" s="246"/>
      <c r="BJ11" s="246" t="str">
        <f>IF(Eingabe!I15="","",Eingabe!I15*Eingabe!B15)</f>
        <v/>
      </c>
      <c r="BK11" s="246"/>
      <c r="BL11" s="246"/>
      <c r="BM11" s="246"/>
      <c r="BN11" s="247"/>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22" t="str">
        <f>IF(Eingabe!A16="","",Eingabe!A16)</f>
        <v/>
      </c>
      <c r="B12" s="145"/>
      <c r="C12" s="145"/>
      <c r="D12" s="145" t="str">
        <f>IF(Eingabe!B16="","",Eingabe!B16)</f>
        <v/>
      </c>
      <c r="E12" s="145"/>
      <c r="F12" s="145"/>
      <c r="G12" s="145"/>
      <c r="H12" s="137" t="str">
        <f>IF(Eingabe!C16="","",Eingabe!C16)</f>
        <v>FF</v>
      </c>
      <c r="I12" s="137"/>
      <c r="J12" s="137"/>
      <c r="K12" s="137"/>
      <c r="L12" s="248" t="str">
        <f>IF(Eingabe!D16="","",Eingabe!D16)</f>
        <v>"</v>
      </c>
      <c r="M12" s="249"/>
      <c r="N12" s="249"/>
      <c r="O12" s="249"/>
      <c r="P12" s="249"/>
      <c r="Q12" s="249"/>
      <c r="R12" s="249"/>
      <c r="S12" s="249"/>
      <c r="T12" s="249"/>
      <c r="U12" s="249"/>
      <c r="V12" s="249"/>
      <c r="W12" s="249"/>
      <c r="X12" s="249"/>
      <c r="Y12" s="249"/>
      <c r="Z12" s="249"/>
      <c r="AA12" s="249"/>
      <c r="AB12" s="249"/>
      <c r="AC12" s="249"/>
      <c r="AD12" s="249"/>
      <c r="AE12" s="249"/>
      <c r="AF12" s="249"/>
      <c r="AG12" s="250"/>
      <c r="AH12" s="251" t="str">
        <f>IF(Eingabe!F16&amp;Eingabe!G16="","",Eingabe!F16&amp;"  /  "&amp;Eingabe!G16)</f>
        <v/>
      </c>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46" t="str">
        <f>IF(Eingabe!I16="","",Eingabe!I16)</f>
        <v/>
      </c>
      <c r="BF12" s="246"/>
      <c r="BG12" s="246"/>
      <c r="BH12" s="246"/>
      <c r="BI12" s="246"/>
      <c r="BJ12" s="246" t="str">
        <f>IF(Eingabe!I16="","",Eingabe!I16*Eingabe!B16)</f>
        <v/>
      </c>
      <c r="BK12" s="246"/>
      <c r="BL12" s="246"/>
      <c r="BM12" s="246"/>
      <c r="BN12" s="247"/>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22">
        <f>IF(Eingabe!A17="","",Eingabe!A17)</f>
        <v>7</v>
      </c>
      <c r="B13" s="145"/>
      <c r="C13" s="145"/>
      <c r="D13" s="145">
        <f>IF(Eingabe!B17="","",Eingabe!B17)</f>
        <v>12</v>
      </c>
      <c r="E13" s="145"/>
      <c r="F13" s="145"/>
      <c r="G13" s="145"/>
      <c r="H13" s="137" t="str">
        <f>IF(Eingabe!C17="","",Eingabe!C17)</f>
        <v>STK</v>
      </c>
      <c r="I13" s="137"/>
      <c r="J13" s="137"/>
      <c r="K13" s="137"/>
      <c r="L13" s="248" t="str">
        <f>IF(Eingabe!D17="","",Eingabe!D17)</f>
        <v>WID 1k</v>
      </c>
      <c r="M13" s="249"/>
      <c r="N13" s="249"/>
      <c r="O13" s="249"/>
      <c r="P13" s="249"/>
      <c r="Q13" s="249"/>
      <c r="R13" s="249"/>
      <c r="S13" s="249"/>
      <c r="T13" s="249"/>
      <c r="U13" s="249"/>
      <c r="V13" s="249"/>
      <c r="W13" s="249"/>
      <c r="X13" s="249"/>
      <c r="Y13" s="249"/>
      <c r="Z13" s="249"/>
      <c r="AA13" s="249"/>
      <c r="AB13" s="249"/>
      <c r="AC13" s="249"/>
      <c r="AD13" s="249"/>
      <c r="AE13" s="249"/>
      <c r="AF13" s="249"/>
      <c r="AG13" s="250"/>
      <c r="AH13" s="251" t="str">
        <f>IF(Eingabe!F17&amp;Eingabe!G17="","",Eingabe!F17&amp;"  /  "&amp;Eingabe!G17)</f>
        <v>mercateo.at  /  B1313-728529</v>
      </c>
      <c r="AI13" s="251"/>
      <c r="AJ13" s="251"/>
      <c r="AK13" s="251"/>
      <c r="AL13" s="251"/>
      <c r="AM13" s="251"/>
      <c r="AN13" s="251"/>
      <c r="AO13" s="251"/>
      <c r="AP13" s="251"/>
      <c r="AQ13" s="251"/>
      <c r="AR13" s="251"/>
      <c r="AS13" s="251"/>
      <c r="AT13" s="251"/>
      <c r="AU13" s="251"/>
      <c r="AV13" s="251"/>
      <c r="AW13" s="251"/>
      <c r="AX13" s="251"/>
      <c r="AY13" s="251"/>
      <c r="AZ13" s="251"/>
      <c r="BA13" s="251"/>
      <c r="BB13" s="251"/>
      <c r="BC13" s="251"/>
      <c r="BD13" s="251"/>
      <c r="BE13" s="246">
        <f>IF(Eingabe!I17="","",Eingabe!I17)</f>
        <v>6.3E-3</v>
      </c>
      <c r="BF13" s="246"/>
      <c r="BG13" s="246"/>
      <c r="BH13" s="246"/>
      <c r="BI13" s="246"/>
      <c r="BJ13" s="246">
        <f>IF(Eingabe!I17="","",Eingabe!I17*Eingabe!B17)</f>
        <v>7.5600000000000001E-2</v>
      </c>
      <c r="BK13" s="246"/>
      <c r="BL13" s="246"/>
      <c r="BM13" s="246"/>
      <c r="BN13" s="247"/>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22" t="str">
        <f>IF(Eingabe!A18="","",Eingabe!A18)</f>
        <v/>
      </c>
      <c r="B14" s="145"/>
      <c r="C14" s="145"/>
      <c r="D14" s="145" t="str">
        <f>IF(Eingabe!B18="","",Eingabe!B18)</f>
        <v/>
      </c>
      <c r="E14" s="145"/>
      <c r="F14" s="145"/>
      <c r="G14" s="145"/>
      <c r="H14" s="137" t="str">
        <f>IF(Eingabe!C18="","",Eingabe!C18)</f>
        <v>FF</v>
      </c>
      <c r="I14" s="137"/>
      <c r="J14" s="137"/>
      <c r="K14" s="137"/>
      <c r="L14" s="248" t="str">
        <f>IF(Eingabe!D18="","",Eingabe!D18)</f>
        <v>"</v>
      </c>
      <c r="M14" s="249"/>
      <c r="N14" s="249"/>
      <c r="O14" s="249"/>
      <c r="P14" s="249"/>
      <c r="Q14" s="249"/>
      <c r="R14" s="249"/>
      <c r="S14" s="249"/>
      <c r="T14" s="249"/>
      <c r="U14" s="249"/>
      <c r="V14" s="249"/>
      <c r="W14" s="249"/>
      <c r="X14" s="249"/>
      <c r="Y14" s="249"/>
      <c r="Z14" s="249"/>
      <c r="AA14" s="249"/>
      <c r="AB14" s="249"/>
      <c r="AC14" s="249"/>
      <c r="AD14" s="249"/>
      <c r="AE14" s="249"/>
      <c r="AF14" s="249"/>
      <c r="AG14" s="250"/>
      <c r="AH14" s="251" t="str">
        <f>IF(Eingabe!F18&amp;Eingabe!G18="","",Eingabe!F18&amp;"  /  "&amp;Eingabe!G18)</f>
        <v/>
      </c>
      <c r="AI14" s="251"/>
      <c r="AJ14" s="251"/>
      <c r="AK14" s="251"/>
      <c r="AL14" s="251"/>
      <c r="AM14" s="251"/>
      <c r="AN14" s="251"/>
      <c r="AO14" s="251"/>
      <c r="AP14" s="251"/>
      <c r="AQ14" s="251"/>
      <c r="AR14" s="251"/>
      <c r="AS14" s="251"/>
      <c r="AT14" s="251"/>
      <c r="AU14" s="251"/>
      <c r="AV14" s="251"/>
      <c r="AW14" s="251"/>
      <c r="AX14" s="251"/>
      <c r="AY14" s="251"/>
      <c r="AZ14" s="251"/>
      <c r="BA14" s="251"/>
      <c r="BB14" s="251"/>
      <c r="BC14" s="251"/>
      <c r="BD14" s="251"/>
      <c r="BE14" s="246" t="str">
        <f>IF(Eingabe!I18="","",Eingabe!I18)</f>
        <v/>
      </c>
      <c r="BF14" s="246"/>
      <c r="BG14" s="246"/>
      <c r="BH14" s="246"/>
      <c r="BI14" s="246"/>
      <c r="BJ14" s="246" t="str">
        <f>IF(Eingabe!I18="","",Eingabe!I18*Eingabe!B18)</f>
        <v/>
      </c>
      <c r="BK14" s="246"/>
      <c r="BL14" s="246"/>
      <c r="BM14" s="246"/>
      <c r="BN14" s="247"/>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22">
        <f>IF(Eingabe!A19="","",Eingabe!A19)</f>
        <v>8</v>
      </c>
      <c r="B15" s="145"/>
      <c r="C15" s="145"/>
      <c r="D15" s="145">
        <f>IF(Eingabe!B19="","",Eingabe!B19)</f>
        <v>1</v>
      </c>
      <c r="E15" s="145"/>
      <c r="F15" s="145"/>
      <c r="G15" s="145"/>
      <c r="H15" s="137" t="str">
        <f>IF(Eingabe!C19="","",Eingabe!C19)</f>
        <v>STK</v>
      </c>
      <c r="I15" s="137"/>
      <c r="J15" s="137"/>
      <c r="K15" s="137"/>
      <c r="L15" s="248" t="str">
        <f>IF(Eingabe!D19="","",Eingabe!D19)</f>
        <v>WID 4k7</v>
      </c>
      <c r="M15" s="249"/>
      <c r="N15" s="249"/>
      <c r="O15" s="249"/>
      <c r="P15" s="249"/>
      <c r="Q15" s="249"/>
      <c r="R15" s="249"/>
      <c r="S15" s="249"/>
      <c r="T15" s="249"/>
      <c r="U15" s="249"/>
      <c r="V15" s="249"/>
      <c r="W15" s="249"/>
      <c r="X15" s="249"/>
      <c r="Y15" s="249"/>
      <c r="Z15" s="249"/>
      <c r="AA15" s="249"/>
      <c r="AB15" s="249"/>
      <c r="AC15" s="249"/>
      <c r="AD15" s="249"/>
      <c r="AE15" s="249"/>
      <c r="AF15" s="249"/>
      <c r="AG15" s="250"/>
      <c r="AH15" s="251" t="str">
        <f>IF(Eingabe!F19&amp;Eingabe!G19="","",Eingabe!F19&amp;"  /  "&amp;Eingabe!G19)</f>
        <v>mercateo.at  /  B1314-213-2367</v>
      </c>
      <c r="AI15" s="251"/>
      <c r="AJ15" s="251"/>
      <c r="AK15" s="251"/>
      <c r="AL15" s="251"/>
      <c r="AM15" s="251"/>
      <c r="AN15" s="251"/>
      <c r="AO15" s="251"/>
      <c r="AP15" s="251"/>
      <c r="AQ15" s="251"/>
      <c r="AR15" s="251"/>
      <c r="AS15" s="251"/>
      <c r="AT15" s="251"/>
      <c r="AU15" s="251"/>
      <c r="AV15" s="251"/>
      <c r="AW15" s="251"/>
      <c r="AX15" s="251"/>
      <c r="AY15" s="251"/>
      <c r="AZ15" s="251"/>
      <c r="BA15" s="251"/>
      <c r="BB15" s="251"/>
      <c r="BC15" s="251"/>
      <c r="BD15" s="251"/>
      <c r="BE15" s="246">
        <f>IF(Eingabe!I19="","",Eingabe!I19)</f>
        <v>5.1999999999999998E-3</v>
      </c>
      <c r="BF15" s="246"/>
      <c r="BG15" s="246"/>
      <c r="BH15" s="246"/>
      <c r="BI15" s="246"/>
      <c r="BJ15" s="246">
        <f>IF(Eingabe!I19="","",Eingabe!I19*Eingabe!B19)</f>
        <v>5.1999999999999998E-3</v>
      </c>
      <c r="BK15" s="246"/>
      <c r="BL15" s="246"/>
      <c r="BM15" s="246"/>
      <c r="BN15" s="247"/>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22">
        <f>IF(Eingabe!A20="","",Eingabe!A20)</f>
        <v>9</v>
      </c>
      <c r="B16" s="145"/>
      <c r="C16" s="145"/>
      <c r="D16" s="145">
        <f>IF(Eingabe!B20="","",Eingabe!B20)</f>
        <v>5</v>
      </c>
      <c r="E16" s="145"/>
      <c r="F16" s="145"/>
      <c r="G16" s="145"/>
      <c r="H16" s="137" t="str">
        <f>IF(Eingabe!C20="","",Eingabe!C20)</f>
        <v>STK</v>
      </c>
      <c r="I16" s="137"/>
      <c r="J16" s="137"/>
      <c r="K16" s="137"/>
      <c r="L16" s="248" t="str">
        <f>IF(Eingabe!D20="","",Eingabe!D20)</f>
        <v>WID 10k</v>
      </c>
      <c r="M16" s="249"/>
      <c r="N16" s="249"/>
      <c r="O16" s="249"/>
      <c r="P16" s="249"/>
      <c r="Q16" s="249"/>
      <c r="R16" s="249"/>
      <c r="S16" s="249"/>
      <c r="T16" s="249"/>
      <c r="U16" s="249"/>
      <c r="V16" s="249"/>
      <c r="W16" s="249"/>
      <c r="X16" s="249"/>
      <c r="Y16" s="249"/>
      <c r="Z16" s="249"/>
      <c r="AA16" s="249"/>
      <c r="AB16" s="249"/>
      <c r="AC16" s="249"/>
      <c r="AD16" s="249"/>
      <c r="AE16" s="249"/>
      <c r="AF16" s="249"/>
      <c r="AG16" s="250"/>
      <c r="AH16" s="251" t="str">
        <f>IF(Eingabe!F20&amp;Eingabe!G20="","",Eingabe!F20&amp;"  /  "&amp;Eingabe!G20)</f>
        <v>mercateo.at  /  B1314-740-8805</v>
      </c>
      <c r="AI16" s="251"/>
      <c r="AJ16" s="251"/>
      <c r="AK16" s="251"/>
      <c r="AL16" s="251"/>
      <c r="AM16" s="251"/>
      <c r="AN16" s="251"/>
      <c r="AO16" s="251"/>
      <c r="AP16" s="251"/>
      <c r="AQ16" s="251"/>
      <c r="AR16" s="251"/>
      <c r="AS16" s="251"/>
      <c r="AT16" s="251"/>
      <c r="AU16" s="251"/>
      <c r="AV16" s="251"/>
      <c r="AW16" s="251"/>
      <c r="AX16" s="251"/>
      <c r="AY16" s="251"/>
      <c r="AZ16" s="251"/>
      <c r="BA16" s="251"/>
      <c r="BB16" s="251"/>
      <c r="BC16" s="251"/>
      <c r="BD16" s="251"/>
      <c r="BE16" s="246">
        <f>IF(Eingabe!I20="","",Eingabe!I20)</f>
        <v>9.1999999999999998E-3</v>
      </c>
      <c r="BF16" s="246"/>
      <c r="BG16" s="246"/>
      <c r="BH16" s="246"/>
      <c r="BI16" s="246"/>
      <c r="BJ16" s="246">
        <f>IF(Eingabe!I20="","",Eingabe!I20*Eingabe!B20)</f>
        <v>4.5999999999999999E-2</v>
      </c>
      <c r="BK16" s="246"/>
      <c r="BL16" s="246"/>
      <c r="BM16" s="246"/>
      <c r="BN16" s="247"/>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22">
        <f>IF(Eingabe!A21="","",Eingabe!A21)</f>
        <v>10</v>
      </c>
      <c r="B17" s="145"/>
      <c r="C17" s="145"/>
      <c r="D17" s="145">
        <f>IF(Eingabe!B21="","",Eingabe!B21)</f>
        <v>2</v>
      </c>
      <c r="E17" s="145"/>
      <c r="F17" s="145"/>
      <c r="G17" s="145"/>
      <c r="H17" s="137" t="str">
        <f>IF(Eingabe!C21="","",Eingabe!C21)</f>
        <v>STK</v>
      </c>
      <c r="I17" s="137"/>
      <c r="J17" s="137"/>
      <c r="K17" s="137"/>
      <c r="L17" s="248" t="str">
        <f>IF(Eingabe!D21="","",Eingabe!D21)</f>
        <v>WID 100k</v>
      </c>
      <c r="M17" s="249"/>
      <c r="N17" s="249"/>
      <c r="O17" s="249"/>
      <c r="P17" s="249"/>
      <c r="Q17" s="249"/>
      <c r="R17" s="249"/>
      <c r="S17" s="249"/>
      <c r="T17" s="249"/>
      <c r="U17" s="249"/>
      <c r="V17" s="249"/>
      <c r="W17" s="249"/>
      <c r="X17" s="249"/>
      <c r="Y17" s="249"/>
      <c r="Z17" s="249"/>
      <c r="AA17" s="249"/>
      <c r="AB17" s="249"/>
      <c r="AC17" s="249"/>
      <c r="AD17" s="249"/>
      <c r="AE17" s="249"/>
      <c r="AF17" s="249"/>
      <c r="AG17" s="250"/>
      <c r="AH17" s="251" t="str">
        <f>IF(Eingabe!F21&amp;Eingabe!G21="","",Eingabe!F21&amp;"  /  "&amp;Eingabe!G21)</f>
        <v>mercateo.at  /  B1313-713342</v>
      </c>
      <c r="AI17" s="251"/>
      <c r="AJ17" s="251"/>
      <c r="AK17" s="251"/>
      <c r="AL17" s="251"/>
      <c r="AM17" s="251"/>
      <c r="AN17" s="251"/>
      <c r="AO17" s="251"/>
      <c r="AP17" s="251"/>
      <c r="AQ17" s="251"/>
      <c r="AR17" s="251"/>
      <c r="AS17" s="251"/>
      <c r="AT17" s="251"/>
      <c r="AU17" s="251"/>
      <c r="AV17" s="251"/>
      <c r="AW17" s="251"/>
      <c r="AX17" s="251"/>
      <c r="AY17" s="251"/>
      <c r="AZ17" s="251"/>
      <c r="BA17" s="251"/>
      <c r="BB17" s="251"/>
      <c r="BC17" s="251"/>
      <c r="BD17" s="251"/>
      <c r="BE17" s="246">
        <f>IF(Eingabe!I21="","",Eingabe!I21)</f>
        <v>4.1000000000000003E-3</v>
      </c>
      <c r="BF17" s="246"/>
      <c r="BG17" s="246"/>
      <c r="BH17" s="246"/>
      <c r="BI17" s="246"/>
      <c r="BJ17" s="246">
        <f>IF(Eingabe!I21="","",Eingabe!I21*Eingabe!B21)</f>
        <v>8.2000000000000007E-3</v>
      </c>
      <c r="BK17" s="246"/>
      <c r="BL17" s="246"/>
      <c r="BM17" s="246"/>
      <c r="BN17" s="247"/>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22">
        <f>IF(Eingabe!A22="","",Eingabe!A22)</f>
        <v>11</v>
      </c>
      <c r="B18" s="145"/>
      <c r="C18" s="145"/>
      <c r="D18" s="145">
        <f>IF(Eingabe!B22="","",Eingabe!B22)</f>
        <v>39</v>
      </c>
      <c r="E18" s="145"/>
      <c r="F18" s="145"/>
      <c r="G18" s="145"/>
      <c r="H18" s="137" t="str">
        <f>IF(Eingabe!C22="","",Eingabe!C22)</f>
        <v>STK</v>
      </c>
      <c r="I18" s="137"/>
      <c r="J18" s="137"/>
      <c r="K18" s="137"/>
      <c r="L18" s="248" t="str">
        <f>IF(Eingabe!D22="","",Eingabe!D22)</f>
        <v>WID 100k</v>
      </c>
      <c r="M18" s="249"/>
      <c r="N18" s="249"/>
      <c r="O18" s="249"/>
      <c r="P18" s="249"/>
      <c r="Q18" s="249"/>
      <c r="R18" s="249"/>
      <c r="S18" s="249"/>
      <c r="T18" s="249"/>
      <c r="U18" s="249"/>
      <c r="V18" s="249"/>
      <c r="W18" s="249"/>
      <c r="X18" s="249"/>
      <c r="Y18" s="249"/>
      <c r="Z18" s="249"/>
      <c r="AA18" s="249"/>
      <c r="AB18" s="249"/>
      <c r="AC18" s="249"/>
      <c r="AD18" s="249"/>
      <c r="AE18" s="249"/>
      <c r="AF18" s="249"/>
      <c r="AG18" s="250"/>
      <c r="AH18" s="251" t="str">
        <f>IF(Eingabe!F22&amp;Eingabe!G22="","",Eingabe!F22&amp;"  /  "&amp;Eingabe!G22)</f>
        <v>mercateo.at  /  B1314-679-1761P</v>
      </c>
      <c r="AI18" s="251"/>
      <c r="AJ18" s="251"/>
      <c r="AK18" s="251"/>
      <c r="AL18" s="251"/>
      <c r="AM18" s="251"/>
      <c r="AN18" s="251"/>
      <c r="AO18" s="251"/>
      <c r="AP18" s="251"/>
      <c r="AQ18" s="251"/>
      <c r="AR18" s="251"/>
      <c r="AS18" s="251"/>
      <c r="AT18" s="251"/>
      <c r="AU18" s="251"/>
      <c r="AV18" s="251"/>
      <c r="AW18" s="251"/>
      <c r="AX18" s="251"/>
      <c r="AY18" s="251"/>
      <c r="AZ18" s="251"/>
      <c r="BA18" s="251"/>
      <c r="BB18" s="251"/>
      <c r="BC18" s="251"/>
      <c r="BD18" s="251"/>
      <c r="BE18" s="246">
        <f>IF(Eingabe!I22="","",Eingabe!I22)</f>
        <v>1.72E-2</v>
      </c>
      <c r="BF18" s="246"/>
      <c r="BG18" s="246"/>
      <c r="BH18" s="246"/>
      <c r="BI18" s="246"/>
      <c r="BJ18" s="246">
        <f>IF(Eingabe!I22="","",Eingabe!I22*Eingabe!B22)</f>
        <v>0.67079999999999995</v>
      </c>
      <c r="BK18" s="246"/>
      <c r="BL18" s="246"/>
      <c r="BM18" s="246"/>
      <c r="BN18" s="247"/>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22" t="str">
        <f>IF(Eingabe!A23="","",Eingabe!A23)</f>
        <v/>
      </c>
      <c r="B19" s="145"/>
      <c r="C19" s="145"/>
      <c r="D19" s="145" t="str">
        <f>IF(Eingabe!B23="","",Eingabe!B23)</f>
        <v/>
      </c>
      <c r="E19" s="145"/>
      <c r="F19" s="145"/>
      <c r="G19" s="145"/>
      <c r="H19" s="137" t="str">
        <f>IF(Eingabe!C23="","",Eingabe!C23)</f>
        <v>FF</v>
      </c>
      <c r="I19" s="137"/>
      <c r="J19" s="137"/>
      <c r="K19" s="137"/>
      <c r="L19" s="248" t="str">
        <f>IF(Eingabe!D23="","",Eingabe!D23)</f>
        <v>"</v>
      </c>
      <c r="M19" s="249"/>
      <c r="N19" s="249"/>
      <c r="O19" s="249"/>
      <c r="P19" s="249"/>
      <c r="Q19" s="249"/>
      <c r="R19" s="249"/>
      <c r="S19" s="249"/>
      <c r="T19" s="249"/>
      <c r="U19" s="249"/>
      <c r="V19" s="249"/>
      <c r="W19" s="249"/>
      <c r="X19" s="249"/>
      <c r="Y19" s="249"/>
      <c r="Z19" s="249"/>
      <c r="AA19" s="249"/>
      <c r="AB19" s="249"/>
      <c r="AC19" s="249"/>
      <c r="AD19" s="249"/>
      <c r="AE19" s="249"/>
      <c r="AF19" s="249"/>
      <c r="AG19" s="250"/>
      <c r="AH19" s="251" t="str">
        <f>IF(Eingabe!F23&amp;Eingabe!G23="","",Eingabe!F23&amp;"  /  "&amp;Eingabe!G23)</f>
        <v/>
      </c>
      <c r="AI19" s="251"/>
      <c r="AJ19" s="251"/>
      <c r="AK19" s="251"/>
      <c r="AL19" s="251"/>
      <c r="AM19" s="251"/>
      <c r="AN19" s="251"/>
      <c r="AO19" s="251"/>
      <c r="AP19" s="251"/>
      <c r="AQ19" s="251"/>
      <c r="AR19" s="251"/>
      <c r="AS19" s="251"/>
      <c r="AT19" s="251"/>
      <c r="AU19" s="251"/>
      <c r="AV19" s="251"/>
      <c r="AW19" s="251"/>
      <c r="AX19" s="251"/>
      <c r="AY19" s="251"/>
      <c r="AZ19" s="251"/>
      <c r="BA19" s="251"/>
      <c r="BB19" s="251"/>
      <c r="BC19" s="251"/>
      <c r="BD19" s="251"/>
      <c r="BE19" s="246" t="str">
        <f>IF(Eingabe!I23="","",Eingabe!I23)</f>
        <v/>
      </c>
      <c r="BF19" s="246"/>
      <c r="BG19" s="246"/>
      <c r="BH19" s="246"/>
      <c r="BI19" s="246"/>
      <c r="BJ19" s="246" t="str">
        <f>IF(Eingabe!I23="","",Eingabe!I23*Eingabe!B23)</f>
        <v/>
      </c>
      <c r="BK19" s="246"/>
      <c r="BL19" s="246"/>
      <c r="BM19" s="246"/>
      <c r="BN19" s="247"/>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22">
        <f>IF(Eingabe!A24="","",Eingabe!A24)</f>
        <v>12</v>
      </c>
      <c r="B20" s="145"/>
      <c r="C20" s="145"/>
      <c r="D20" s="145">
        <f>IF(Eingabe!B24="","",Eingabe!B24)</f>
        <v>2</v>
      </c>
      <c r="E20" s="145"/>
      <c r="F20" s="145"/>
      <c r="G20" s="145"/>
      <c r="H20" s="137" t="str">
        <f>IF(Eingabe!C24="","",Eingabe!C24)</f>
        <v>STK</v>
      </c>
      <c r="I20" s="137"/>
      <c r="J20" s="137"/>
      <c r="K20" s="137"/>
      <c r="L20" s="248" t="str">
        <f>IF(Eingabe!D24="","",Eingabe!D24)</f>
        <v>TRANS N BC846BW</v>
      </c>
      <c r="M20" s="249"/>
      <c r="N20" s="249"/>
      <c r="O20" s="249"/>
      <c r="P20" s="249"/>
      <c r="Q20" s="249"/>
      <c r="R20" s="249"/>
      <c r="S20" s="249"/>
      <c r="T20" s="249"/>
      <c r="U20" s="249"/>
      <c r="V20" s="249"/>
      <c r="W20" s="249"/>
      <c r="X20" s="249"/>
      <c r="Y20" s="249"/>
      <c r="Z20" s="249"/>
      <c r="AA20" s="249"/>
      <c r="AB20" s="249"/>
      <c r="AC20" s="249"/>
      <c r="AD20" s="249"/>
      <c r="AE20" s="249"/>
      <c r="AF20" s="249"/>
      <c r="AG20" s="250"/>
      <c r="AH20" s="251" t="str">
        <f>IF(Eingabe!F24&amp;Eingabe!G24="","",Eingabe!F24&amp;"  /  "&amp;Eingabe!G24)</f>
        <v>mercateo.at  /  B1314-436-7925</v>
      </c>
      <c r="AI20" s="251"/>
      <c r="AJ20" s="251"/>
      <c r="AK20" s="251"/>
      <c r="AL20" s="251"/>
      <c r="AM20" s="251"/>
      <c r="AN20" s="251"/>
      <c r="AO20" s="251"/>
      <c r="AP20" s="251"/>
      <c r="AQ20" s="251"/>
      <c r="AR20" s="251"/>
      <c r="AS20" s="251"/>
      <c r="AT20" s="251"/>
      <c r="AU20" s="251"/>
      <c r="AV20" s="251"/>
      <c r="AW20" s="251"/>
      <c r="AX20" s="251"/>
      <c r="AY20" s="251"/>
      <c r="AZ20" s="251"/>
      <c r="BA20" s="251"/>
      <c r="BB20" s="251"/>
      <c r="BC20" s="251"/>
      <c r="BD20" s="251"/>
      <c r="BE20" s="246">
        <f>IF(Eingabe!I24="","",Eingabe!I24)</f>
        <v>1.4999999999999999E-2</v>
      </c>
      <c r="BF20" s="246"/>
      <c r="BG20" s="246"/>
      <c r="BH20" s="246"/>
      <c r="BI20" s="246"/>
      <c r="BJ20" s="246">
        <f>IF(Eingabe!I24="","",Eingabe!I24*Eingabe!B24)</f>
        <v>0.03</v>
      </c>
      <c r="BK20" s="246"/>
      <c r="BL20" s="246"/>
      <c r="BM20" s="246"/>
      <c r="BN20" s="247"/>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22" t="str">
        <f>IF(Eingabe!A25="","",Eingabe!A25)</f>
        <v/>
      </c>
      <c r="B21" s="145"/>
      <c r="C21" s="145"/>
      <c r="D21" s="145" t="str">
        <f>IF(Eingabe!B25="","",Eingabe!B25)</f>
        <v/>
      </c>
      <c r="E21" s="145"/>
      <c r="F21" s="145"/>
      <c r="G21" s="145"/>
      <c r="H21" s="137" t="str">
        <f>IF(Eingabe!C25="","",Eingabe!C25)</f>
        <v/>
      </c>
      <c r="I21" s="137"/>
      <c r="J21" s="137"/>
      <c r="K21" s="137"/>
      <c r="L21" s="248" t="str">
        <f>IF(Eingabe!D25="","",Eingabe!D25)</f>
        <v/>
      </c>
      <c r="M21" s="249"/>
      <c r="N21" s="249"/>
      <c r="O21" s="249"/>
      <c r="P21" s="249"/>
      <c r="Q21" s="249"/>
      <c r="R21" s="249"/>
      <c r="S21" s="249"/>
      <c r="T21" s="249"/>
      <c r="U21" s="249"/>
      <c r="V21" s="249"/>
      <c r="W21" s="249"/>
      <c r="X21" s="249"/>
      <c r="Y21" s="249"/>
      <c r="Z21" s="249"/>
      <c r="AA21" s="249"/>
      <c r="AB21" s="249"/>
      <c r="AC21" s="249"/>
      <c r="AD21" s="249"/>
      <c r="AE21" s="249"/>
      <c r="AF21" s="249"/>
      <c r="AG21" s="250"/>
      <c r="AH21" s="251" t="str">
        <f>IF(Eingabe!F25&amp;Eingabe!G25="","",Eingabe!F25&amp;"  /  "&amp;Eingabe!G25)</f>
        <v/>
      </c>
      <c r="AI21" s="251"/>
      <c r="AJ21" s="251"/>
      <c r="AK21" s="251"/>
      <c r="AL21" s="251"/>
      <c r="AM21" s="251"/>
      <c r="AN21" s="251"/>
      <c r="AO21" s="251"/>
      <c r="AP21" s="251"/>
      <c r="AQ21" s="251"/>
      <c r="AR21" s="251"/>
      <c r="AS21" s="251"/>
      <c r="AT21" s="251"/>
      <c r="AU21" s="251"/>
      <c r="AV21" s="251"/>
      <c r="AW21" s="251"/>
      <c r="AX21" s="251"/>
      <c r="AY21" s="251"/>
      <c r="AZ21" s="251"/>
      <c r="BA21" s="251"/>
      <c r="BB21" s="251"/>
      <c r="BC21" s="251"/>
      <c r="BD21" s="251"/>
      <c r="BE21" s="246" t="str">
        <f>IF(Eingabe!I25="","",Eingabe!I25)</f>
        <v/>
      </c>
      <c r="BF21" s="246"/>
      <c r="BG21" s="246"/>
      <c r="BH21" s="246"/>
      <c r="BI21" s="246"/>
      <c r="BJ21" s="246" t="str">
        <f>IF(Eingabe!I25="","",Eingabe!I25*Eingabe!B25)</f>
        <v/>
      </c>
      <c r="BK21" s="246"/>
      <c r="BL21" s="246"/>
      <c r="BM21" s="246"/>
      <c r="BN21" s="247"/>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22" t="str">
        <f>IF(Eingabe!A26="","",Eingabe!A26)</f>
        <v/>
      </c>
      <c r="B22" s="145"/>
      <c r="C22" s="145"/>
      <c r="D22" s="145" t="str">
        <f>IF(Eingabe!B26="","",Eingabe!B26)</f>
        <v/>
      </c>
      <c r="E22" s="145"/>
      <c r="F22" s="145"/>
      <c r="G22" s="145"/>
      <c r="H22" s="137" t="str">
        <f>IF(Eingabe!C26="","",Eingabe!C26)</f>
        <v/>
      </c>
      <c r="I22" s="137"/>
      <c r="J22" s="137"/>
      <c r="K22" s="137"/>
      <c r="L22" s="248" t="str">
        <f>IF(Eingabe!D26="","",Eingabe!D26)</f>
        <v/>
      </c>
      <c r="M22" s="249"/>
      <c r="N22" s="249"/>
      <c r="O22" s="249"/>
      <c r="P22" s="249"/>
      <c r="Q22" s="249"/>
      <c r="R22" s="249"/>
      <c r="S22" s="249"/>
      <c r="T22" s="249"/>
      <c r="U22" s="249"/>
      <c r="V22" s="249"/>
      <c r="W22" s="249"/>
      <c r="X22" s="249"/>
      <c r="Y22" s="249"/>
      <c r="Z22" s="249"/>
      <c r="AA22" s="249"/>
      <c r="AB22" s="249"/>
      <c r="AC22" s="249"/>
      <c r="AD22" s="249"/>
      <c r="AE22" s="249"/>
      <c r="AF22" s="249"/>
      <c r="AG22" s="250"/>
      <c r="AH22" s="251" t="str">
        <f>IF(Eingabe!F26&amp;Eingabe!G26="","",Eingabe!F26&amp;"  /  "&amp;Eingabe!G26)</f>
        <v/>
      </c>
      <c r="AI22" s="251"/>
      <c r="AJ22" s="251"/>
      <c r="AK22" s="251"/>
      <c r="AL22" s="251"/>
      <c r="AM22" s="251"/>
      <c r="AN22" s="251"/>
      <c r="AO22" s="251"/>
      <c r="AP22" s="251"/>
      <c r="AQ22" s="251"/>
      <c r="AR22" s="251"/>
      <c r="AS22" s="251"/>
      <c r="AT22" s="251"/>
      <c r="AU22" s="251"/>
      <c r="AV22" s="251"/>
      <c r="AW22" s="251"/>
      <c r="AX22" s="251"/>
      <c r="AY22" s="251"/>
      <c r="AZ22" s="251"/>
      <c r="BA22" s="251"/>
      <c r="BB22" s="251"/>
      <c r="BC22" s="251"/>
      <c r="BD22" s="251"/>
      <c r="BE22" s="246" t="str">
        <f>IF(Eingabe!I26="","",Eingabe!I26)</f>
        <v/>
      </c>
      <c r="BF22" s="246"/>
      <c r="BG22" s="246"/>
      <c r="BH22" s="246"/>
      <c r="BI22" s="246"/>
      <c r="BJ22" s="246" t="str">
        <f>IF(Eingabe!I26="","",Eingabe!I26*Eingabe!B26)</f>
        <v/>
      </c>
      <c r="BK22" s="246"/>
      <c r="BL22" s="246"/>
      <c r="BM22" s="246"/>
      <c r="BN22" s="247"/>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22" t="str">
        <f>IF(Eingabe!A27="","",Eingabe!A27)</f>
        <v/>
      </c>
      <c r="B23" s="145"/>
      <c r="C23" s="145"/>
      <c r="D23" s="145" t="str">
        <f>IF(Eingabe!B27="","",Eingabe!B27)</f>
        <v/>
      </c>
      <c r="E23" s="145"/>
      <c r="F23" s="145"/>
      <c r="G23" s="145"/>
      <c r="H23" s="137" t="str">
        <f>IF(Eingabe!C27="","",Eingabe!C27)</f>
        <v/>
      </c>
      <c r="I23" s="137"/>
      <c r="J23" s="137"/>
      <c r="K23" s="137"/>
      <c r="L23" s="248" t="str">
        <f>IF(Eingabe!D27="","",Eingabe!D27)</f>
        <v/>
      </c>
      <c r="M23" s="249"/>
      <c r="N23" s="249"/>
      <c r="O23" s="249"/>
      <c r="P23" s="249"/>
      <c r="Q23" s="249"/>
      <c r="R23" s="249"/>
      <c r="S23" s="249"/>
      <c r="T23" s="249"/>
      <c r="U23" s="249"/>
      <c r="V23" s="249"/>
      <c r="W23" s="249"/>
      <c r="X23" s="249"/>
      <c r="Y23" s="249"/>
      <c r="Z23" s="249"/>
      <c r="AA23" s="249"/>
      <c r="AB23" s="249"/>
      <c r="AC23" s="249"/>
      <c r="AD23" s="249"/>
      <c r="AE23" s="249"/>
      <c r="AF23" s="249"/>
      <c r="AG23" s="250"/>
      <c r="AH23" s="251" t="str">
        <f>IF(Eingabe!F27&amp;Eingabe!G27="","",Eingabe!F27&amp;"  /  "&amp;Eingabe!G27)</f>
        <v/>
      </c>
      <c r="AI23" s="251"/>
      <c r="AJ23" s="251"/>
      <c r="AK23" s="251"/>
      <c r="AL23" s="251"/>
      <c r="AM23" s="251"/>
      <c r="AN23" s="251"/>
      <c r="AO23" s="251"/>
      <c r="AP23" s="251"/>
      <c r="AQ23" s="251"/>
      <c r="AR23" s="251"/>
      <c r="AS23" s="251"/>
      <c r="AT23" s="251"/>
      <c r="AU23" s="251"/>
      <c r="AV23" s="251"/>
      <c r="AW23" s="251"/>
      <c r="AX23" s="251"/>
      <c r="AY23" s="251"/>
      <c r="AZ23" s="251"/>
      <c r="BA23" s="251"/>
      <c r="BB23" s="251"/>
      <c r="BC23" s="251"/>
      <c r="BD23" s="251"/>
      <c r="BE23" s="246" t="str">
        <f>IF(Eingabe!I27="","",Eingabe!I27)</f>
        <v/>
      </c>
      <c r="BF23" s="246"/>
      <c r="BG23" s="246"/>
      <c r="BH23" s="246"/>
      <c r="BI23" s="246"/>
      <c r="BJ23" s="246" t="str">
        <f>IF(Eingabe!I27="","",Eingabe!I27*Eingabe!B27)</f>
        <v/>
      </c>
      <c r="BK23" s="246"/>
      <c r="BL23" s="246"/>
      <c r="BM23" s="246"/>
      <c r="BN23" s="247"/>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22" t="str">
        <f>IF(Eingabe!A28="","",Eingabe!A28)</f>
        <v/>
      </c>
      <c r="B24" s="145"/>
      <c r="C24" s="145"/>
      <c r="D24" s="145" t="str">
        <f>IF(Eingabe!B28="","",Eingabe!B28)</f>
        <v/>
      </c>
      <c r="E24" s="145"/>
      <c r="F24" s="145"/>
      <c r="G24" s="145"/>
      <c r="H24" s="137" t="str">
        <f>IF(Eingabe!C28="","",Eingabe!C28)</f>
        <v/>
      </c>
      <c r="I24" s="137"/>
      <c r="J24" s="137"/>
      <c r="K24" s="137"/>
      <c r="L24" s="248" t="str">
        <f>IF(Eingabe!D28="","",Eingabe!D28)</f>
        <v/>
      </c>
      <c r="M24" s="249"/>
      <c r="N24" s="249"/>
      <c r="O24" s="249"/>
      <c r="P24" s="249"/>
      <c r="Q24" s="249"/>
      <c r="R24" s="249"/>
      <c r="S24" s="249"/>
      <c r="T24" s="249"/>
      <c r="U24" s="249"/>
      <c r="V24" s="249"/>
      <c r="W24" s="249"/>
      <c r="X24" s="249"/>
      <c r="Y24" s="249"/>
      <c r="Z24" s="249"/>
      <c r="AA24" s="249"/>
      <c r="AB24" s="249"/>
      <c r="AC24" s="249"/>
      <c r="AD24" s="249"/>
      <c r="AE24" s="249"/>
      <c r="AF24" s="249"/>
      <c r="AG24" s="250"/>
      <c r="AH24" s="251" t="str">
        <f>IF(Eingabe!F28&amp;Eingabe!G28="","",Eingabe!F28&amp;"  /  "&amp;Eingabe!G28)</f>
        <v/>
      </c>
      <c r="AI24" s="251"/>
      <c r="AJ24" s="251"/>
      <c r="AK24" s="251"/>
      <c r="AL24" s="251"/>
      <c r="AM24" s="251"/>
      <c r="AN24" s="251"/>
      <c r="AO24" s="251"/>
      <c r="AP24" s="251"/>
      <c r="AQ24" s="251"/>
      <c r="AR24" s="251"/>
      <c r="AS24" s="251"/>
      <c r="AT24" s="251"/>
      <c r="AU24" s="251"/>
      <c r="AV24" s="251"/>
      <c r="AW24" s="251"/>
      <c r="AX24" s="251"/>
      <c r="AY24" s="251"/>
      <c r="AZ24" s="251"/>
      <c r="BA24" s="251"/>
      <c r="BB24" s="251"/>
      <c r="BC24" s="251"/>
      <c r="BD24" s="251"/>
      <c r="BE24" s="246" t="str">
        <f>IF(Eingabe!I28="","",Eingabe!I28)</f>
        <v/>
      </c>
      <c r="BF24" s="246"/>
      <c r="BG24" s="246"/>
      <c r="BH24" s="246"/>
      <c r="BI24" s="246"/>
      <c r="BJ24" s="246" t="str">
        <f>IF(Eingabe!I28="","",Eingabe!I28*Eingabe!B28)</f>
        <v/>
      </c>
      <c r="BK24" s="246"/>
      <c r="BL24" s="246"/>
      <c r="BM24" s="246"/>
      <c r="BN24" s="247"/>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22" t="str">
        <f>IF(Eingabe!A29="","",Eingabe!A29)</f>
        <v/>
      </c>
      <c r="B25" s="145"/>
      <c r="C25" s="145"/>
      <c r="D25" s="145" t="str">
        <f>IF(Eingabe!B29="","",Eingabe!B29)</f>
        <v/>
      </c>
      <c r="E25" s="145"/>
      <c r="F25" s="145"/>
      <c r="G25" s="145"/>
      <c r="H25" s="137" t="str">
        <f>IF(Eingabe!C29="","",Eingabe!C29)</f>
        <v/>
      </c>
      <c r="I25" s="137"/>
      <c r="J25" s="137"/>
      <c r="K25" s="137"/>
      <c r="L25" s="248" t="str">
        <f>IF(Eingabe!D29="","",Eingabe!D29)</f>
        <v/>
      </c>
      <c r="M25" s="249"/>
      <c r="N25" s="249"/>
      <c r="O25" s="249"/>
      <c r="P25" s="249"/>
      <c r="Q25" s="249"/>
      <c r="R25" s="249"/>
      <c r="S25" s="249"/>
      <c r="T25" s="249"/>
      <c r="U25" s="249"/>
      <c r="V25" s="249"/>
      <c r="W25" s="249"/>
      <c r="X25" s="249"/>
      <c r="Y25" s="249"/>
      <c r="Z25" s="249"/>
      <c r="AA25" s="249"/>
      <c r="AB25" s="249"/>
      <c r="AC25" s="249"/>
      <c r="AD25" s="249"/>
      <c r="AE25" s="249"/>
      <c r="AF25" s="249"/>
      <c r="AG25" s="250"/>
      <c r="AH25" s="251" t="str">
        <f>IF(Eingabe!F29&amp;Eingabe!G29="","",Eingabe!F29&amp;"  /  "&amp;Eingabe!G29)</f>
        <v/>
      </c>
      <c r="AI25" s="251"/>
      <c r="AJ25" s="251"/>
      <c r="AK25" s="251"/>
      <c r="AL25" s="251"/>
      <c r="AM25" s="251"/>
      <c r="AN25" s="251"/>
      <c r="AO25" s="251"/>
      <c r="AP25" s="251"/>
      <c r="AQ25" s="251"/>
      <c r="AR25" s="251"/>
      <c r="AS25" s="251"/>
      <c r="AT25" s="251"/>
      <c r="AU25" s="251"/>
      <c r="AV25" s="251"/>
      <c r="AW25" s="251"/>
      <c r="AX25" s="251"/>
      <c r="AY25" s="251"/>
      <c r="AZ25" s="251"/>
      <c r="BA25" s="251"/>
      <c r="BB25" s="251"/>
      <c r="BC25" s="251"/>
      <c r="BD25" s="251"/>
      <c r="BE25" s="246" t="str">
        <f>IF(Eingabe!I29="","",Eingabe!I29)</f>
        <v/>
      </c>
      <c r="BF25" s="246"/>
      <c r="BG25" s="246"/>
      <c r="BH25" s="246"/>
      <c r="BI25" s="246"/>
      <c r="BJ25" s="246" t="str">
        <f>IF(Eingabe!I29="","",Eingabe!I29*Eingabe!B29)</f>
        <v/>
      </c>
      <c r="BK25" s="246"/>
      <c r="BL25" s="246"/>
      <c r="BM25" s="246"/>
      <c r="BN25" s="247"/>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22" t="str">
        <f>IF(Eingabe!A30="","",Eingabe!A30)</f>
        <v/>
      </c>
      <c r="B26" s="145"/>
      <c r="C26" s="145"/>
      <c r="D26" s="145" t="str">
        <f>IF(Eingabe!B30="","",Eingabe!B30)</f>
        <v/>
      </c>
      <c r="E26" s="145"/>
      <c r="F26" s="145"/>
      <c r="G26" s="145"/>
      <c r="H26" s="137" t="str">
        <f>IF(Eingabe!C30="","",Eingabe!C30)</f>
        <v/>
      </c>
      <c r="I26" s="137"/>
      <c r="J26" s="137"/>
      <c r="K26" s="137"/>
      <c r="L26" s="248" t="str">
        <f>IF(Eingabe!D30="","",Eingabe!D30)</f>
        <v/>
      </c>
      <c r="M26" s="249"/>
      <c r="N26" s="249"/>
      <c r="O26" s="249"/>
      <c r="P26" s="249"/>
      <c r="Q26" s="249"/>
      <c r="R26" s="249"/>
      <c r="S26" s="249"/>
      <c r="T26" s="249"/>
      <c r="U26" s="249"/>
      <c r="V26" s="249"/>
      <c r="W26" s="249"/>
      <c r="X26" s="249"/>
      <c r="Y26" s="249"/>
      <c r="Z26" s="249"/>
      <c r="AA26" s="249"/>
      <c r="AB26" s="249"/>
      <c r="AC26" s="249"/>
      <c r="AD26" s="249"/>
      <c r="AE26" s="249"/>
      <c r="AF26" s="249"/>
      <c r="AG26" s="250"/>
      <c r="AH26" s="251" t="str">
        <f>IF(Eingabe!F30&amp;Eingabe!G30="","",Eingabe!F30&amp;"  /  "&amp;Eingabe!G30)</f>
        <v/>
      </c>
      <c r="AI26" s="251"/>
      <c r="AJ26" s="251"/>
      <c r="AK26" s="251"/>
      <c r="AL26" s="251"/>
      <c r="AM26" s="251"/>
      <c r="AN26" s="251"/>
      <c r="AO26" s="251"/>
      <c r="AP26" s="251"/>
      <c r="AQ26" s="251"/>
      <c r="AR26" s="251"/>
      <c r="AS26" s="251"/>
      <c r="AT26" s="251"/>
      <c r="AU26" s="251"/>
      <c r="AV26" s="251"/>
      <c r="AW26" s="251"/>
      <c r="AX26" s="251"/>
      <c r="AY26" s="251"/>
      <c r="AZ26" s="251"/>
      <c r="BA26" s="251"/>
      <c r="BB26" s="251"/>
      <c r="BC26" s="251"/>
      <c r="BD26" s="251"/>
      <c r="BE26" s="246" t="str">
        <f>IF(Eingabe!I30="","",Eingabe!I30)</f>
        <v/>
      </c>
      <c r="BF26" s="246"/>
      <c r="BG26" s="246"/>
      <c r="BH26" s="246"/>
      <c r="BI26" s="246"/>
      <c r="BJ26" s="246" t="str">
        <f>IF(Eingabe!I30="","",Eingabe!I30*Eingabe!B30)</f>
        <v/>
      </c>
      <c r="BK26" s="246"/>
      <c r="BL26" s="246"/>
      <c r="BM26" s="246"/>
      <c r="BN26" s="247"/>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22" t="str">
        <f>IF(Eingabe!A31="","",Eingabe!A31)</f>
        <v/>
      </c>
      <c r="B27" s="145"/>
      <c r="C27" s="145"/>
      <c r="D27" s="145" t="str">
        <f>IF(Eingabe!B31="","",Eingabe!B31)</f>
        <v/>
      </c>
      <c r="E27" s="145"/>
      <c r="F27" s="145"/>
      <c r="G27" s="145"/>
      <c r="H27" s="137" t="str">
        <f>IF(Eingabe!C31="","",Eingabe!C31)</f>
        <v/>
      </c>
      <c r="I27" s="137"/>
      <c r="J27" s="137"/>
      <c r="K27" s="137"/>
      <c r="L27" s="248" t="str">
        <f>IF(Eingabe!D31="","",Eingabe!D31)</f>
        <v/>
      </c>
      <c r="M27" s="249"/>
      <c r="N27" s="249"/>
      <c r="O27" s="249"/>
      <c r="P27" s="249"/>
      <c r="Q27" s="249"/>
      <c r="R27" s="249"/>
      <c r="S27" s="249"/>
      <c r="T27" s="249"/>
      <c r="U27" s="249"/>
      <c r="V27" s="249"/>
      <c r="W27" s="249"/>
      <c r="X27" s="249"/>
      <c r="Y27" s="249"/>
      <c r="Z27" s="249"/>
      <c r="AA27" s="249"/>
      <c r="AB27" s="249"/>
      <c r="AC27" s="249"/>
      <c r="AD27" s="249"/>
      <c r="AE27" s="249"/>
      <c r="AF27" s="249"/>
      <c r="AG27" s="250"/>
      <c r="AH27" s="251" t="str">
        <f>IF(Eingabe!F31&amp;Eingabe!G31="","",Eingabe!F31&amp;"  /  "&amp;Eingabe!G31)</f>
        <v/>
      </c>
      <c r="AI27" s="251"/>
      <c r="AJ27" s="251"/>
      <c r="AK27" s="251"/>
      <c r="AL27" s="251"/>
      <c r="AM27" s="251"/>
      <c r="AN27" s="251"/>
      <c r="AO27" s="251"/>
      <c r="AP27" s="251"/>
      <c r="AQ27" s="251"/>
      <c r="AR27" s="251"/>
      <c r="AS27" s="251"/>
      <c r="AT27" s="251"/>
      <c r="AU27" s="251"/>
      <c r="AV27" s="251"/>
      <c r="AW27" s="251"/>
      <c r="AX27" s="251"/>
      <c r="AY27" s="251"/>
      <c r="AZ27" s="251"/>
      <c r="BA27" s="251"/>
      <c r="BB27" s="251"/>
      <c r="BC27" s="251"/>
      <c r="BD27" s="251"/>
      <c r="BE27" s="246" t="str">
        <f>IF(Eingabe!I31="","",Eingabe!I31)</f>
        <v/>
      </c>
      <c r="BF27" s="246"/>
      <c r="BG27" s="246"/>
      <c r="BH27" s="246"/>
      <c r="BI27" s="246"/>
      <c r="BJ27" s="246" t="str">
        <f>IF(Eingabe!I31="","",Eingabe!I31*Eingabe!B31)</f>
        <v/>
      </c>
      <c r="BK27" s="246"/>
      <c r="BL27" s="246"/>
      <c r="BM27" s="246"/>
      <c r="BN27" s="247"/>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22" t="str">
        <f>IF(Eingabe!A32="","",Eingabe!A32)</f>
        <v/>
      </c>
      <c r="B28" s="145"/>
      <c r="C28" s="145"/>
      <c r="D28" s="145" t="str">
        <f>IF(Eingabe!B32="","",Eingabe!B32)</f>
        <v/>
      </c>
      <c r="E28" s="145"/>
      <c r="F28" s="145"/>
      <c r="G28" s="145"/>
      <c r="H28" s="137" t="str">
        <f>IF(Eingabe!C32="","",Eingabe!C32)</f>
        <v/>
      </c>
      <c r="I28" s="137"/>
      <c r="J28" s="137"/>
      <c r="K28" s="137"/>
      <c r="L28" s="248" t="str">
        <f>IF(Eingabe!D32="","",Eingabe!D32)</f>
        <v/>
      </c>
      <c r="M28" s="249"/>
      <c r="N28" s="249"/>
      <c r="O28" s="249"/>
      <c r="P28" s="249"/>
      <c r="Q28" s="249"/>
      <c r="R28" s="249"/>
      <c r="S28" s="249"/>
      <c r="T28" s="249"/>
      <c r="U28" s="249"/>
      <c r="V28" s="249"/>
      <c r="W28" s="249"/>
      <c r="X28" s="249"/>
      <c r="Y28" s="249"/>
      <c r="Z28" s="249"/>
      <c r="AA28" s="249"/>
      <c r="AB28" s="249"/>
      <c r="AC28" s="249"/>
      <c r="AD28" s="249"/>
      <c r="AE28" s="249"/>
      <c r="AF28" s="249"/>
      <c r="AG28" s="250"/>
      <c r="AH28" s="251" t="str">
        <f>IF(Eingabe!F32&amp;Eingabe!G32="","",Eingabe!F32&amp;"  /  "&amp;Eingabe!G32)</f>
        <v/>
      </c>
      <c r="AI28" s="251"/>
      <c r="AJ28" s="251"/>
      <c r="AK28" s="251"/>
      <c r="AL28" s="251"/>
      <c r="AM28" s="251"/>
      <c r="AN28" s="251"/>
      <c r="AO28" s="251"/>
      <c r="AP28" s="251"/>
      <c r="AQ28" s="251"/>
      <c r="AR28" s="251"/>
      <c r="AS28" s="251"/>
      <c r="AT28" s="251"/>
      <c r="AU28" s="251"/>
      <c r="AV28" s="251"/>
      <c r="AW28" s="251"/>
      <c r="AX28" s="251"/>
      <c r="AY28" s="251"/>
      <c r="AZ28" s="251"/>
      <c r="BA28" s="251"/>
      <c r="BB28" s="251"/>
      <c r="BC28" s="251"/>
      <c r="BD28" s="251"/>
      <c r="BE28" s="246" t="str">
        <f>IF(Eingabe!I32="","",Eingabe!I32)</f>
        <v/>
      </c>
      <c r="BF28" s="246"/>
      <c r="BG28" s="246"/>
      <c r="BH28" s="246"/>
      <c r="BI28" s="246"/>
      <c r="BJ28" s="246" t="str">
        <f>IF(Eingabe!I32="","",Eingabe!I32*Eingabe!B32)</f>
        <v/>
      </c>
      <c r="BK28" s="246"/>
      <c r="BL28" s="246"/>
      <c r="BM28" s="246"/>
      <c r="BN28" s="247"/>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22" t="str">
        <f>IF(Eingabe!A33="","",Eingabe!A33)</f>
        <v/>
      </c>
      <c r="B29" s="145"/>
      <c r="C29" s="145"/>
      <c r="D29" s="145" t="str">
        <f>IF(Eingabe!B33="","",Eingabe!B33)</f>
        <v/>
      </c>
      <c r="E29" s="145"/>
      <c r="F29" s="145"/>
      <c r="G29" s="145"/>
      <c r="H29" s="137" t="str">
        <f>IF(Eingabe!C33="","",Eingabe!C33)</f>
        <v/>
      </c>
      <c r="I29" s="137"/>
      <c r="J29" s="137"/>
      <c r="K29" s="137"/>
      <c r="L29" s="248" t="str">
        <f>IF(Eingabe!D33="","",Eingabe!D33)</f>
        <v/>
      </c>
      <c r="M29" s="249"/>
      <c r="N29" s="249"/>
      <c r="O29" s="249"/>
      <c r="P29" s="249"/>
      <c r="Q29" s="249"/>
      <c r="R29" s="249"/>
      <c r="S29" s="249"/>
      <c r="T29" s="249"/>
      <c r="U29" s="249"/>
      <c r="V29" s="249"/>
      <c r="W29" s="249"/>
      <c r="X29" s="249"/>
      <c r="Y29" s="249"/>
      <c r="Z29" s="249"/>
      <c r="AA29" s="249"/>
      <c r="AB29" s="249"/>
      <c r="AC29" s="249"/>
      <c r="AD29" s="249"/>
      <c r="AE29" s="249"/>
      <c r="AF29" s="249"/>
      <c r="AG29" s="250"/>
      <c r="AH29" s="251" t="str">
        <f>IF(Eingabe!F33&amp;Eingabe!G33="","",Eingabe!F33&amp;"  /  "&amp;Eingabe!G33)</f>
        <v/>
      </c>
      <c r="AI29" s="251"/>
      <c r="AJ29" s="251"/>
      <c r="AK29" s="251"/>
      <c r="AL29" s="251"/>
      <c r="AM29" s="251"/>
      <c r="AN29" s="251"/>
      <c r="AO29" s="251"/>
      <c r="AP29" s="251"/>
      <c r="AQ29" s="251"/>
      <c r="AR29" s="251"/>
      <c r="AS29" s="251"/>
      <c r="AT29" s="251"/>
      <c r="AU29" s="251"/>
      <c r="AV29" s="251"/>
      <c r="AW29" s="251"/>
      <c r="AX29" s="251"/>
      <c r="AY29" s="251"/>
      <c r="AZ29" s="251"/>
      <c r="BA29" s="251"/>
      <c r="BB29" s="251"/>
      <c r="BC29" s="251"/>
      <c r="BD29" s="251"/>
      <c r="BE29" s="246" t="str">
        <f>IF(Eingabe!I33="","",Eingabe!I33)</f>
        <v/>
      </c>
      <c r="BF29" s="246"/>
      <c r="BG29" s="246"/>
      <c r="BH29" s="246"/>
      <c r="BI29" s="246"/>
      <c r="BJ29" s="246" t="str">
        <f>IF(Eingabe!I33="","",Eingabe!I33*Eingabe!B33)</f>
        <v/>
      </c>
      <c r="BK29" s="246"/>
      <c r="BL29" s="246"/>
      <c r="BM29" s="246"/>
      <c r="BN29" s="247"/>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22" t="str">
        <f>IF(Eingabe!A34="","",Eingabe!A34)</f>
        <v/>
      </c>
      <c r="B30" s="145"/>
      <c r="C30" s="145"/>
      <c r="D30" s="145" t="str">
        <f>IF(Eingabe!B34="","",Eingabe!B34)</f>
        <v/>
      </c>
      <c r="E30" s="145"/>
      <c r="F30" s="145"/>
      <c r="G30" s="145"/>
      <c r="H30" s="137" t="str">
        <f>IF(Eingabe!C34="","",Eingabe!C34)</f>
        <v/>
      </c>
      <c r="I30" s="137"/>
      <c r="J30" s="137"/>
      <c r="K30" s="137"/>
      <c r="L30" s="248" t="str">
        <f>IF(Eingabe!D34="","",Eingabe!D34)</f>
        <v/>
      </c>
      <c r="M30" s="249"/>
      <c r="N30" s="249"/>
      <c r="O30" s="249"/>
      <c r="P30" s="249"/>
      <c r="Q30" s="249"/>
      <c r="R30" s="249"/>
      <c r="S30" s="249"/>
      <c r="T30" s="249"/>
      <c r="U30" s="249"/>
      <c r="V30" s="249"/>
      <c r="W30" s="249"/>
      <c r="X30" s="249"/>
      <c r="Y30" s="249"/>
      <c r="Z30" s="249"/>
      <c r="AA30" s="249"/>
      <c r="AB30" s="249"/>
      <c r="AC30" s="249"/>
      <c r="AD30" s="249"/>
      <c r="AE30" s="249"/>
      <c r="AF30" s="249"/>
      <c r="AG30" s="250"/>
      <c r="AH30" s="251" t="str">
        <f>IF(Eingabe!F34&amp;Eingabe!G34="","",Eingabe!F34&amp;"  /  "&amp;Eingabe!G34)</f>
        <v/>
      </c>
      <c r="AI30" s="251"/>
      <c r="AJ30" s="251"/>
      <c r="AK30" s="251"/>
      <c r="AL30" s="251"/>
      <c r="AM30" s="251"/>
      <c r="AN30" s="251"/>
      <c r="AO30" s="251"/>
      <c r="AP30" s="251"/>
      <c r="AQ30" s="251"/>
      <c r="AR30" s="251"/>
      <c r="AS30" s="251"/>
      <c r="AT30" s="251"/>
      <c r="AU30" s="251"/>
      <c r="AV30" s="251"/>
      <c r="AW30" s="251"/>
      <c r="AX30" s="251"/>
      <c r="AY30" s="251"/>
      <c r="AZ30" s="251"/>
      <c r="BA30" s="251"/>
      <c r="BB30" s="251"/>
      <c r="BC30" s="251"/>
      <c r="BD30" s="251"/>
      <c r="BE30" s="246" t="str">
        <f>IF(Eingabe!I34="","",Eingabe!I34)</f>
        <v/>
      </c>
      <c r="BF30" s="246"/>
      <c r="BG30" s="246"/>
      <c r="BH30" s="246"/>
      <c r="BI30" s="246"/>
      <c r="BJ30" s="246" t="str">
        <f>IF(Eingabe!I34="","",Eingabe!I34*Eingabe!B34)</f>
        <v/>
      </c>
      <c r="BK30" s="246"/>
      <c r="BL30" s="246"/>
      <c r="BM30" s="246"/>
      <c r="BN30" s="247"/>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22" t="str">
        <f>IF(Eingabe!A35="","",Eingabe!A35)</f>
        <v/>
      </c>
      <c r="B31" s="145"/>
      <c r="C31" s="145"/>
      <c r="D31" s="145" t="str">
        <f>IF(Eingabe!B35="","",Eingabe!B35)</f>
        <v/>
      </c>
      <c r="E31" s="145"/>
      <c r="F31" s="145"/>
      <c r="G31" s="145"/>
      <c r="H31" s="137" t="str">
        <f>IF(Eingabe!C35="","",Eingabe!C35)</f>
        <v/>
      </c>
      <c r="I31" s="137"/>
      <c r="J31" s="137"/>
      <c r="K31" s="137"/>
      <c r="L31" s="248" t="str">
        <f>IF(Eingabe!D35="","",Eingabe!D35)</f>
        <v/>
      </c>
      <c r="M31" s="249"/>
      <c r="N31" s="249"/>
      <c r="O31" s="249"/>
      <c r="P31" s="249"/>
      <c r="Q31" s="249"/>
      <c r="R31" s="249"/>
      <c r="S31" s="249"/>
      <c r="T31" s="249"/>
      <c r="U31" s="249"/>
      <c r="V31" s="249"/>
      <c r="W31" s="249"/>
      <c r="X31" s="249"/>
      <c r="Y31" s="249"/>
      <c r="Z31" s="249"/>
      <c r="AA31" s="249"/>
      <c r="AB31" s="249"/>
      <c r="AC31" s="249"/>
      <c r="AD31" s="249"/>
      <c r="AE31" s="249"/>
      <c r="AF31" s="249"/>
      <c r="AG31" s="250"/>
      <c r="AH31" s="251" t="str">
        <f>IF(Eingabe!F35&amp;Eingabe!G35="","",Eingabe!F35&amp;"  /  "&amp;Eingabe!G35)</f>
        <v/>
      </c>
      <c r="AI31" s="251"/>
      <c r="AJ31" s="251"/>
      <c r="AK31" s="251"/>
      <c r="AL31" s="251"/>
      <c r="AM31" s="251"/>
      <c r="AN31" s="251"/>
      <c r="AO31" s="251"/>
      <c r="AP31" s="251"/>
      <c r="AQ31" s="251"/>
      <c r="AR31" s="251"/>
      <c r="AS31" s="251"/>
      <c r="AT31" s="251"/>
      <c r="AU31" s="251"/>
      <c r="AV31" s="251"/>
      <c r="AW31" s="251"/>
      <c r="AX31" s="251"/>
      <c r="AY31" s="251"/>
      <c r="AZ31" s="251"/>
      <c r="BA31" s="251"/>
      <c r="BB31" s="251"/>
      <c r="BC31" s="251"/>
      <c r="BD31" s="251"/>
      <c r="BE31" s="246" t="str">
        <f>IF(Eingabe!I35="","",Eingabe!I35)</f>
        <v/>
      </c>
      <c r="BF31" s="246"/>
      <c r="BG31" s="246"/>
      <c r="BH31" s="246"/>
      <c r="BI31" s="246"/>
      <c r="BJ31" s="246" t="str">
        <f>IF(Eingabe!I35="","",Eingabe!I35*Eingabe!B35)</f>
        <v/>
      </c>
      <c r="BK31" s="246"/>
      <c r="BL31" s="246"/>
      <c r="BM31" s="246"/>
      <c r="BN31" s="247"/>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22" t="str">
        <f>IF(Eingabe!A36="","",Eingabe!A36)</f>
        <v/>
      </c>
      <c r="B32" s="145"/>
      <c r="C32" s="145"/>
      <c r="D32" s="145" t="str">
        <f>IF(Eingabe!B36="","",Eingabe!B36)</f>
        <v/>
      </c>
      <c r="E32" s="145"/>
      <c r="F32" s="145"/>
      <c r="G32" s="145"/>
      <c r="H32" s="137" t="str">
        <f>IF(Eingabe!C36="","",Eingabe!C36)</f>
        <v/>
      </c>
      <c r="I32" s="137"/>
      <c r="J32" s="137"/>
      <c r="K32" s="137"/>
      <c r="L32" s="248" t="str">
        <f>IF(Eingabe!D36="","",Eingabe!D36)</f>
        <v/>
      </c>
      <c r="M32" s="249"/>
      <c r="N32" s="249"/>
      <c r="O32" s="249"/>
      <c r="P32" s="249"/>
      <c r="Q32" s="249"/>
      <c r="R32" s="249"/>
      <c r="S32" s="249"/>
      <c r="T32" s="249"/>
      <c r="U32" s="249"/>
      <c r="V32" s="249"/>
      <c r="W32" s="249"/>
      <c r="X32" s="249"/>
      <c r="Y32" s="249"/>
      <c r="Z32" s="249"/>
      <c r="AA32" s="249"/>
      <c r="AB32" s="249"/>
      <c r="AC32" s="249"/>
      <c r="AD32" s="249"/>
      <c r="AE32" s="249"/>
      <c r="AF32" s="249"/>
      <c r="AG32" s="250"/>
      <c r="AH32" s="251" t="str">
        <f>IF(Eingabe!F36&amp;Eingabe!G36="","",Eingabe!F36&amp;"  /  "&amp;Eingabe!G36)</f>
        <v/>
      </c>
      <c r="AI32" s="251"/>
      <c r="AJ32" s="251"/>
      <c r="AK32" s="251"/>
      <c r="AL32" s="251"/>
      <c r="AM32" s="251"/>
      <c r="AN32" s="251"/>
      <c r="AO32" s="251"/>
      <c r="AP32" s="251"/>
      <c r="AQ32" s="251"/>
      <c r="AR32" s="251"/>
      <c r="AS32" s="251"/>
      <c r="AT32" s="251"/>
      <c r="AU32" s="251"/>
      <c r="AV32" s="251"/>
      <c r="AW32" s="251"/>
      <c r="AX32" s="251"/>
      <c r="AY32" s="251"/>
      <c r="AZ32" s="251"/>
      <c r="BA32" s="251"/>
      <c r="BB32" s="251"/>
      <c r="BC32" s="251"/>
      <c r="BD32" s="251"/>
      <c r="BE32" s="246" t="str">
        <f>IF(Eingabe!I36="","",Eingabe!I36)</f>
        <v/>
      </c>
      <c r="BF32" s="246"/>
      <c r="BG32" s="246"/>
      <c r="BH32" s="246"/>
      <c r="BI32" s="246"/>
      <c r="BJ32" s="246" t="str">
        <f>IF(Eingabe!I36="","",Eingabe!I36*Eingabe!B36)</f>
        <v/>
      </c>
      <c r="BK32" s="246"/>
      <c r="BL32" s="246"/>
      <c r="BM32" s="246"/>
      <c r="BN32" s="247"/>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22" t="str">
        <f>IF(Eingabe!A37="","",Eingabe!A37)</f>
        <v/>
      </c>
      <c r="B33" s="145"/>
      <c r="C33" s="145"/>
      <c r="D33" s="145" t="str">
        <f>IF(Eingabe!B37="","",Eingabe!B37)</f>
        <v/>
      </c>
      <c r="E33" s="145"/>
      <c r="F33" s="145"/>
      <c r="G33" s="145"/>
      <c r="H33" s="137" t="str">
        <f>IF(Eingabe!C37="","",Eingabe!C37)</f>
        <v/>
      </c>
      <c r="I33" s="137"/>
      <c r="J33" s="137"/>
      <c r="K33" s="137"/>
      <c r="L33" s="248" t="str">
        <f>IF(Eingabe!D37="","",Eingabe!D37)</f>
        <v/>
      </c>
      <c r="M33" s="249"/>
      <c r="N33" s="249"/>
      <c r="O33" s="249"/>
      <c r="P33" s="249"/>
      <c r="Q33" s="249"/>
      <c r="R33" s="249"/>
      <c r="S33" s="249"/>
      <c r="T33" s="249"/>
      <c r="U33" s="249"/>
      <c r="V33" s="249"/>
      <c r="W33" s="249"/>
      <c r="X33" s="249"/>
      <c r="Y33" s="249"/>
      <c r="Z33" s="249"/>
      <c r="AA33" s="249"/>
      <c r="AB33" s="249"/>
      <c r="AC33" s="249"/>
      <c r="AD33" s="249"/>
      <c r="AE33" s="249"/>
      <c r="AF33" s="249"/>
      <c r="AG33" s="250"/>
      <c r="AH33" s="251" t="str">
        <f>IF(Eingabe!F37&amp;Eingabe!G37="","",Eingabe!F37&amp;"  /  "&amp;Eingabe!G37)</f>
        <v/>
      </c>
      <c r="AI33" s="251"/>
      <c r="AJ33" s="251"/>
      <c r="AK33" s="251"/>
      <c r="AL33" s="251"/>
      <c r="AM33" s="251"/>
      <c r="AN33" s="251"/>
      <c r="AO33" s="251"/>
      <c r="AP33" s="251"/>
      <c r="AQ33" s="251"/>
      <c r="AR33" s="251"/>
      <c r="AS33" s="251"/>
      <c r="AT33" s="251"/>
      <c r="AU33" s="251"/>
      <c r="AV33" s="251"/>
      <c r="AW33" s="251"/>
      <c r="AX33" s="251"/>
      <c r="AY33" s="251"/>
      <c r="AZ33" s="251"/>
      <c r="BA33" s="251"/>
      <c r="BB33" s="251"/>
      <c r="BC33" s="251"/>
      <c r="BD33" s="251"/>
      <c r="BE33" s="246" t="str">
        <f>IF(Eingabe!I37="","",Eingabe!I37)</f>
        <v/>
      </c>
      <c r="BF33" s="246"/>
      <c r="BG33" s="246"/>
      <c r="BH33" s="246"/>
      <c r="BI33" s="246"/>
      <c r="BJ33" s="246" t="str">
        <f>IF(Eingabe!I37="","",Eingabe!I37*Eingabe!B37)</f>
        <v/>
      </c>
      <c r="BK33" s="246"/>
      <c r="BL33" s="246"/>
      <c r="BM33" s="246"/>
      <c r="BN33" s="247"/>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22" t="str">
        <f>IF(Eingabe!A38="","",Eingabe!A38)</f>
        <v/>
      </c>
      <c r="B34" s="145"/>
      <c r="C34" s="145"/>
      <c r="D34" s="145" t="str">
        <f>IF(Eingabe!B38="","",Eingabe!B38)</f>
        <v/>
      </c>
      <c r="E34" s="145"/>
      <c r="F34" s="145"/>
      <c r="G34" s="145"/>
      <c r="H34" s="137" t="str">
        <f>IF(Eingabe!C38="","",Eingabe!C38)</f>
        <v/>
      </c>
      <c r="I34" s="137"/>
      <c r="J34" s="137"/>
      <c r="K34" s="137"/>
      <c r="L34" s="248" t="str">
        <f>IF(Eingabe!D38="","",Eingabe!D38)</f>
        <v/>
      </c>
      <c r="M34" s="249"/>
      <c r="N34" s="249"/>
      <c r="O34" s="249"/>
      <c r="P34" s="249"/>
      <c r="Q34" s="249"/>
      <c r="R34" s="249"/>
      <c r="S34" s="249"/>
      <c r="T34" s="249"/>
      <c r="U34" s="249"/>
      <c r="V34" s="249"/>
      <c r="W34" s="249"/>
      <c r="X34" s="249"/>
      <c r="Y34" s="249"/>
      <c r="Z34" s="249"/>
      <c r="AA34" s="249"/>
      <c r="AB34" s="249"/>
      <c r="AC34" s="249"/>
      <c r="AD34" s="249"/>
      <c r="AE34" s="249"/>
      <c r="AF34" s="249"/>
      <c r="AG34" s="250"/>
      <c r="AH34" s="251" t="str">
        <f>IF(Eingabe!F38&amp;Eingabe!G38="","",Eingabe!F38&amp;"  /  "&amp;Eingabe!G38)</f>
        <v/>
      </c>
      <c r="AI34" s="251"/>
      <c r="AJ34" s="251"/>
      <c r="AK34" s="251"/>
      <c r="AL34" s="251"/>
      <c r="AM34" s="251"/>
      <c r="AN34" s="251"/>
      <c r="AO34" s="251"/>
      <c r="AP34" s="251"/>
      <c r="AQ34" s="251"/>
      <c r="AR34" s="251"/>
      <c r="AS34" s="251"/>
      <c r="AT34" s="251"/>
      <c r="AU34" s="251"/>
      <c r="AV34" s="251"/>
      <c r="AW34" s="251"/>
      <c r="AX34" s="251"/>
      <c r="AY34" s="251"/>
      <c r="AZ34" s="251"/>
      <c r="BA34" s="251"/>
      <c r="BB34" s="251"/>
      <c r="BC34" s="251"/>
      <c r="BD34" s="251"/>
      <c r="BE34" s="246" t="str">
        <f>IF(Eingabe!I38="","",Eingabe!I38)</f>
        <v/>
      </c>
      <c r="BF34" s="246"/>
      <c r="BG34" s="246"/>
      <c r="BH34" s="246"/>
      <c r="BI34" s="246"/>
      <c r="BJ34" s="246" t="str">
        <f>IF(Eingabe!I38="","",Eingabe!I38*Eingabe!B38)</f>
        <v/>
      </c>
      <c r="BK34" s="246"/>
      <c r="BL34" s="246"/>
      <c r="BM34" s="246"/>
      <c r="BN34" s="247"/>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22" t="str">
        <f>IF(Eingabe!A39="","",Eingabe!A39)</f>
        <v/>
      </c>
      <c r="B35" s="145"/>
      <c r="C35" s="145"/>
      <c r="D35" s="145" t="str">
        <f>IF(Eingabe!B39="","",Eingabe!B39)</f>
        <v/>
      </c>
      <c r="E35" s="145"/>
      <c r="F35" s="145"/>
      <c r="G35" s="145"/>
      <c r="H35" s="137" t="str">
        <f>IF(Eingabe!C39="","",Eingabe!C39)</f>
        <v/>
      </c>
      <c r="I35" s="137"/>
      <c r="J35" s="137"/>
      <c r="K35" s="137"/>
      <c r="L35" s="248" t="str">
        <f>IF(Eingabe!D39="","",Eingabe!D39)</f>
        <v/>
      </c>
      <c r="M35" s="249"/>
      <c r="N35" s="249"/>
      <c r="O35" s="249"/>
      <c r="P35" s="249"/>
      <c r="Q35" s="249"/>
      <c r="R35" s="249"/>
      <c r="S35" s="249"/>
      <c r="T35" s="249"/>
      <c r="U35" s="249"/>
      <c r="V35" s="249"/>
      <c r="W35" s="249"/>
      <c r="X35" s="249"/>
      <c r="Y35" s="249"/>
      <c r="Z35" s="249"/>
      <c r="AA35" s="249"/>
      <c r="AB35" s="249"/>
      <c r="AC35" s="249"/>
      <c r="AD35" s="249"/>
      <c r="AE35" s="249"/>
      <c r="AF35" s="249"/>
      <c r="AG35" s="250"/>
      <c r="AH35" s="251" t="str">
        <f>IF(Eingabe!F39&amp;Eingabe!G39="","",Eingabe!F39&amp;"  /  "&amp;Eingabe!G39)</f>
        <v/>
      </c>
      <c r="AI35" s="251"/>
      <c r="AJ35" s="251"/>
      <c r="AK35" s="251"/>
      <c r="AL35" s="251"/>
      <c r="AM35" s="251"/>
      <c r="AN35" s="251"/>
      <c r="AO35" s="251"/>
      <c r="AP35" s="251"/>
      <c r="AQ35" s="251"/>
      <c r="AR35" s="251"/>
      <c r="AS35" s="251"/>
      <c r="AT35" s="251"/>
      <c r="AU35" s="251"/>
      <c r="AV35" s="251"/>
      <c r="AW35" s="251"/>
      <c r="AX35" s="251"/>
      <c r="AY35" s="251"/>
      <c r="AZ35" s="251"/>
      <c r="BA35" s="251"/>
      <c r="BB35" s="251"/>
      <c r="BC35" s="251"/>
      <c r="BD35" s="251"/>
      <c r="BE35" s="246" t="str">
        <f>IF(Eingabe!I39="","",Eingabe!I39)</f>
        <v/>
      </c>
      <c r="BF35" s="246"/>
      <c r="BG35" s="246"/>
      <c r="BH35" s="246"/>
      <c r="BI35" s="246"/>
      <c r="BJ35" s="246" t="str">
        <f>IF(Eingabe!I39="","",Eingabe!I39*Eingabe!B39)</f>
        <v/>
      </c>
      <c r="BK35" s="246"/>
      <c r="BL35" s="246"/>
      <c r="BM35" s="246"/>
      <c r="BN35" s="247"/>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22" t="str">
        <f>IF(Eingabe!A40="","",Eingabe!A40)</f>
        <v/>
      </c>
      <c r="B36" s="145"/>
      <c r="C36" s="145"/>
      <c r="D36" s="145" t="str">
        <f>IF(Eingabe!B40="","",Eingabe!B40)</f>
        <v/>
      </c>
      <c r="E36" s="145"/>
      <c r="F36" s="145"/>
      <c r="G36" s="145"/>
      <c r="H36" s="137" t="str">
        <f>IF(Eingabe!C40="","",Eingabe!C40)</f>
        <v/>
      </c>
      <c r="I36" s="137"/>
      <c r="J36" s="137"/>
      <c r="K36" s="137"/>
      <c r="L36" s="248" t="str">
        <f>IF(Eingabe!D40="","",Eingabe!D40)</f>
        <v/>
      </c>
      <c r="M36" s="249"/>
      <c r="N36" s="249"/>
      <c r="O36" s="249"/>
      <c r="P36" s="249"/>
      <c r="Q36" s="249"/>
      <c r="R36" s="249"/>
      <c r="S36" s="249"/>
      <c r="T36" s="249"/>
      <c r="U36" s="249"/>
      <c r="V36" s="249"/>
      <c r="W36" s="249"/>
      <c r="X36" s="249"/>
      <c r="Y36" s="249"/>
      <c r="Z36" s="249"/>
      <c r="AA36" s="249"/>
      <c r="AB36" s="249"/>
      <c r="AC36" s="249"/>
      <c r="AD36" s="249"/>
      <c r="AE36" s="249"/>
      <c r="AF36" s="249"/>
      <c r="AG36" s="250"/>
      <c r="AH36" s="251" t="str">
        <f>IF(Eingabe!F40&amp;Eingabe!G40="","",Eingabe!F40&amp;"  /  "&amp;Eingabe!G40)</f>
        <v/>
      </c>
      <c r="AI36" s="251"/>
      <c r="AJ36" s="251"/>
      <c r="AK36" s="251"/>
      <c r="AL36" s="251"/>
      <c r="AM36" s="251"/>
      <c r="AN36" s="251"/>
      <c r="AO36" s="251"/>
      <c r="AP36" s="251"/>
      <c r="AQ36" s="251"/>
      <c r="AR36" s="251"/>
      <c r="AS36" s="251"/>
      <c r="AT36" s="251"/>
      <c r="AU36" s="251"/>
      <c r="AV36" s="251"/>
      <c r="AW36" s="251"/>
      <c r="AX36" s="251"/>
      <c r="AY36" s="251"/>
      <c r="AZ36" s="251"/>
      <c r="BA36" s="251"/>
      <c r="BB36" s="251"/>
      <c r="BC36" s="251"/>
      <c r="BD36" s="251"/>
      <c r="BE36" s="246" t="str">
        <f>IF(Eingabe!I40="","",Eingabe!I40)</f>
        <v/>
      </c>
      <c r="BF36" s="246"/>
      <c r="BG36" s="246"/>
      <c r="BH36" s="246"/>
      <c r="BI36" s="246"/>
      <c r="BJ36" s="246" t="str">
        <f>IF(Eingabe!I40="","",Eingabe!I40*Eingabe!B40)</f>
        <v/>
      </c>
      <c r="BK36" s="246"/>
      <c r="BL36" s="246"/>
      <c r="BM36" s="246"/>
      <c r="BN36" s="247"/>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22" t="str">
        <f>IF(Eingabe!A41="","",Eingabe!A41)</f>
        <v/>
      </c>
      <c r="B37" s="145"/>
      <c r="C37" s="145"/>
      <c r="D37" s="145" t="str">
        <f>IF(Eingabe!B41="","",Eingabe!B41)</f>
        <v/>
      </c>
      <c r="E37" s="145"/>
      <c r="F37" s="145"/>
      <c r="G37" s="145"/>
      <c r="H37" s="137" t="str">
        <f>IF(Eingabe!C41="","",Eingabe!C41)</f>
        <v/>
      </c>
      <c r="I37" s="137"/>
      <c r="J37" s="137"/>
      <c r="K37" s="137"/>
      <c r="L37" s="248" t="str">
        <f>IF(Eingabe!D41="","",Eingabe!D41)</f>
        <v/>
      </c>
      <c r="M37" s="249"/>
      <c r="N37" s="249"/>
      <c r="O37" s="249"/>
      <c r="P37" s="249"/>
      <c r="Q37" s="249"/>
      <c r="R37" s="249"/>
      <c r="S37" s="249"/>
      <c r="T37" s="249"/>
      <c r="U37" s="249"/>
      <c r="V37" s="249"/>
      <c r="W37" s="249"/>
      <c r="X37" s="249"/>
      <c r="Y37" s="249"/>
      <c r="Z37" s="249"/>
      <c r="AA37" s="249"/>
      <c r="AB37" s="249"/>
      <c r="AC37" s="249"/>
      <c r="AD37" s="249"/>
      <c r="AE37" s="249"/>
      <c r="AF37" s="249"/>
      <c r="AG37" s="250"/>
      <c r="AH37" s="251" t="str">
        <f>IF(Eingabe!F41&amp;Eingabe!G41="","",Eingabe!F41&amp;"  /  "&amp;Eingabe!G41)</f>
        <v/>
      </c>
      <c r="AI37" s="251"/>
      <c r="AJ37" s="251"/>
      <c r="AK37" s="251"/>
      <c r="AL37" s="251"/>
      <c r="AM37" s="251"/>
      <c r="AN37" s="251"/>
      <c r="AO37" s="251"/>
      <c r="AP37" s="251"/>
      <c r="AQ37" s="251"/>
      <c r="AR37" s="251"/>
      <c r="AS37" s="251"/>
      <c r="AT37" s="251"/>
      <c r="AU37" s="251"/>
      <c r="AV37" s="251"/>
      <c r="AW37" s="251"/>
      <c r="AX37" s="251"/>
      <c r="AY37" s="251"/>
      <c r="AZ37" s="251"/>
      <c r="BA37" s="251"/>
      <c r="BB37" s="251"/>
      <c r="BC37" s="251"/>
      <c r="BD37" s="251"/>
      <c r="BE37" s="246" t="str">
        <f>IF(Eingabe!I41="","",Eingabe!I41)</f>
        <v/>
      </c>
      <c r="BF37" s="246"/>
      <c r="BG37" s="246"/>
      <c r="BH37" s="246"/>
      <c r="BI37" s="246"/>
      <c r="BJ37" s="246" t="str">
        <f>IF(Eingabe!I41="","",Eingabe!I41*Eingabe!B41)</f>
        <v/>
      </c>
      <c r="BK37" s="246"/>
      <c r="BL37" s="246"/>
      <c r="BM37" s="246"/>
      <c r="BN37" s="247"/>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22" t="str">
        <f>IF(Eingabe!A42="","",Eingabe!A42)</f>
        <v/>
      </c>
      <c r="B38" s="145"/>
      <c r="C38" s="145"/>
      <c r="D38" s="145" t="str">
        <f>IF(Eingabe!B42="","",Eingabe!B42)</f>
        <v/>
      </c>
      <c r="E38" s="145"/>
      <c r="F38" s="145"/>
      <c r="G38" s="145"/>
      <c r="H38" s="137" t="str">
        <f>IF(Eingabe!C42="","",Eingabe!C42)</f>
        <v/>
      </c>
      <c r="I38" s="137"/>
      <c r="J38" s="137"/>
      <c r="K38" s="137"/>
      <c r="L38" s="248" t="str">
        <f>IF(Eingabe!D42="","",Eingabe!D42)</f>
        <v/>
      </c>
      <c r="M38" s="249"/>
      <c r="N38" s="249"/>
      <c r="O38" s="249"/>
      <c r="P38" s="249"/>
      <c r="Q38" s="249"/>
      <c r="R38" s="249"/>
      <c r="S38" s="249"/>
      <c r="T38" s="249"/>
      <c r="U38" s="249"/>
      <c r="V38" s="249"/>
      <c r="W38" s="249"/>
      <c r="X38" s="249"/>
      <c r="Y38" s="249"/>
      <c r="Z38" s="249"/>
      <c r="AA38" s="249"/>
      <c r="AB38" s="249"/>
      <c r="AC38" s="249"/>
      <c r="AD38" s="249"/>
      <c r="AE38" s="249"/>
      <c r="AF38" s="249"/>
      <c r="AG38" s="250"/>
      <c r="AH38" s="251" t="str">
        <f>IF(Eingabe!F42&amp;Eingabe!G42="","",Eingabe!F42&amp;"  /  "&amp;Eingabe!G42)</f>
        <v/>
      </c>
      <c r="AI38" s="251"/>
      <c r="AJ38" s="251"/>
      <c r="AK38" s="251"/>
      <c r="AL38" s="251"/>
      <c r="AM38" s="251"/>
      <c r="AN38" s="251"/>
      <c r="AO38" s="251"/>
      <c r="AP38" s="251"/>
      <c r="AQ38" s="251"/>
      <c r="AR38" s="251"/>
      <c r="AS38" s="251"/>
      <c r="AT38" s="251"/>
      <c r="AU38" s="251"/>
      <c r="AV38" s="251"/>
      <c r="AW38" s="251"/>
      <c r="AX38" s="251"/>
      <c r="AY38" s="251"/>
      <c r="AZ38" s="251"/>
      <c r="BA38" s="251"/>
      <c r="BB38" s="251"/>
      <c r="BC38" s="251"/>
      <c r="BD38" s="251"/>
      <c r="BE38" s="246" t="str">
        <f>IF(Eingabe!I42="","",Eingabe!I42)</f>
        <v/>
      </c>
      <c r="BF38" s="246"/>
      <c r="BG38" s="246"/>
      <c r="BH38" s="246"/>
      <c r="BI38" s="246"/>
      <c r="BJ38" s="246" t="str">
        <f>IF(Eingabe!I42="","",Eingabe!I42*Eingabe!B42)</f>
        <v/>
      </c>
      <c r="BK38" s="246"/>
      <c r="BL38" s="246"/>
      <c r="BM38" s="246"/>
      <c r="BN38" s="247"/>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22" t="str">
        <f>IF(Eingabe!A43="","",Eingabe!A43)</f>
        <v/>
      </c>
      <c r="B39" s="145"/>
      <c r="C39" s="145"/>
      <c r="D39" s="145" t="str">
        <f>IF(Eingabe!B43="","",Eingabe!B43)</f>
        <v/>
      </c>
      <c r="E39" s="145"/>
      <c r="F39" s="145"/>
      <c r="G39" s="145"/>
      <c r="H39" s="137" t="str">
        <f>IF(Eingabe!C43="","",Eingabe!C43)</f>
        <v/>
      </c>
      <c r="I39" s="137"/>
      <c r="J39" s="137"/>
      <c r="K39" s="137"/>
      <c r="L39" s="248" t="str">
        <f>IF(Eingabe!D43="","",Eingabe!D43)</f>
        <v/>
      </c>
      <c r="M39" s="249"/>
      <c r="N39" s="249"/>
      <c r="O39" s="249"/>
      <c r="P39" s="249"/>
      <c r="Q39" s="249"/>
      <c r="R39" s="249"/>
      <c r="S39" s="249"/>
      <c r="T39" s="249"/>
      <c r="U39" s="249"/>
      <c r="V39" s="249"/>
      <c r="W39" s="249"/>
      <c r="X39" s="249"/>
      <c r="Y39" s="249"/>
      <c r="Z39" s="249"/>
      <c r="AA39" s="249"/>
      <c r="AB39" s="249"/>
      <c r="AC39" s="249"/>
      <c r="AD39" s="249"/>
      <c r="AE39" s="249"/>
      <c r="AF39" s="249"/>
      <c r="AG39" s="250"/>
      <c r="AH39" s="251" t="str">
        <f>IF(Eingabe!F43&amp;Eingabe!G43="","",Eingabe!F43&amp;"  /  "&amp;Eingabe!G43)</f>
        <v/>
      </c>
      <c r="AI39" s="251"/>
      <c r="AJ39" s="251"/>
      <c r="AK39" s="251"/>
      <c r="AL39" s="251"/>
      <c r="AM39" s="251"/>
      <c r="AN39" s="251"/>
      <c r="AO39" s="251"/>
      <c r="AP39" s="251"/>
      <c r="AQ39" s="251"/>
      <c r="AR39" s="251"/>
      <c r="AS39" s="251"/>
      <c r="AT39" s="251"/>
      <c r="AU39" s="251"/>
      <c r="AV39" s="251"/>
      <c r="AW39" s="251"/>
      <c r="AX39" s="251"/>
      <c r="AY39" s="251"/>
      <c r="AZ39" s="251"/>
      <c r="BA39" s="251"/>
      <c r="BB39" s="251"/>
      <c r="BC39" s="251"/>
      <c r="BD39" s="251"/>
      <c r="BE39" s="246" t="str">
        <f>IF(Eingabe!I43="","",Eingabe!I43)</f>
        <v/>
      </c>
      <c r="BF39" s="246"/>
      <c r="BG39" s="246"/>
      <c r="BH39" s="246"/>
      <c r="BI39" s="246"/>
      <c r="BJ39" s="246" t="str">
        <f>IF(Eingabe!I43="","",Eingabe!I43*Eingabe!B43)</f>
        <v/>
      </c>
      <c r="BK39" s="246"/>
      <c r="BL39" s="246"/>
      <c r="BM39" s="246"/>
      <c r="BN39" s="247"/>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22" t="str">
        <f>IF(Eingabe!A44="","",Eingabe!A44)</f>
        <v/>
      </c>
      <c r="B40" s="145"/>
      <c r="C40" s="145"/>
      <c r="D40" s="145" t="str">
        <f>IF(Eingabe!B44="","",Eingabe!B44)</f>
        <v/>
      </c>
      <c r="E40" s="145"/>
      <c r="F40" s="145"/>
      <c r="G40" s="145"/>
      <c r="H40" s="137" t="str">
        <f>IF(Eingabe!C44="","",Eingabe!C44)</f>
        <v/>
      </c>
      <c r="I40" s="137"/>
      <c r="J40" s="137"/>
      <c r="K40" s="137"/>
      <c r="L40" s="248" t="str">
        <f>IF(Eingabe!D44="","",Eingabe!D44)</f>
        <v/>
      </c>
      <c r="M40" s="249"/>
      <c r="N40" s="249"/>
      <c r="O40" s="249"/>
      <c r="P40" s="249"/>
      <c r="Q40" s="249"/>
      <c r="R40" s="249"/>
      <c r="S40" s="249"/>
      <c r="T40" s="249"/>
      <c r="U40" s="249"/>
      <c r="V40" s="249"/>
      <c r="W40" s="249"/>
      <c r="X40" s="249"/>
      <c r="Y40" s="249"/>
      <c r="Z40" s="249"/>
      <c r="AA40" s="249"/>
      <c r="AB40" s="249"/>
      <c r="AC40" s="249"/>
      <c r="AD40" s="249"/>
      <c r="AE40" s="249"/>
      <c r="AF40" s="249"/>
      <c r="AG40" s="250"/>
      <c r="AH40" s="251" t="str">
        <f>IF(Eingabe!F44&amp;Eingabe!G44="","",Eingabe!F44&amp;"  /  "&amp;Eingabe!G44)</f>
        <v/>
      </c>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46" t="str">
        <f>IF(Eingabe!I44="","",Eingabe!I44)</f>
        <v/>
      </c>
      <c r="BF40" s="246"/>
      <c r="BG40" s="246"/>
      <c r="BH40" s="246"/>
      <c r="BI40" s="246"/>
      <c r="BJ40" s="246" t="str">
        <f>IF(Eingabe!I44="","",Eingabe!I44*Eingabe!B44)</f>
        <v/>
      </c>
      <c r="BK40" s="246"/>
      <c r="BL40" s="246"/>
      <c r="BM40" s="246"/>
      <c r="BN40" s="247"/>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22" t="str">
        <f>IF(Eingabe!A45="","",Eingabe!A45)</f>
        <v/>
      </c>
      <c r="B41" s="145"/>
      <c r="C41" s="145"/>
      <c r="D41" s="145" t="str">
        <f>IF(Eingabe!B45="","",Eingabe!B45)</f>
        <v/>
      </c>
      <c r="E41" s="145"/>
      <c r="F41" s="145"/>
      <c r="G41" s="145"/>
      <c r="H41" s="137" t="str">
        <f>IF(Eingabe!C45="","",Eingabe!C45)</f>
        <v/>
      </c>
      <c r="I41" s="137"/>
      <c r="J41" s="137"/>
      <c r="K41" s="137"/>
      <c r="L41" s="248" t="str">
        <f>IF(Eingabe!D45="","",Eingabe!D45)</f>
        <v/>
      </c>
      <c r="M41" s="249"/>
      <c r="N41" s="249"/>
      <c r="O41" s="249"/>
      <c r="P41" s="249"/>
      <c r="Q41" s="249"/>
      <c r="R41" s="249"/>
      <c r="S41" s="249"/>
      <c r="T41" s="249"/>
      <c r="U41" s="249"/>
      <c r="V41" s="249"/>
      <c r="W41" s="249"/>
      <c r="X41" s="249"/>
      <c r="Y41" s="249"/>
      <c r="Z41" s="249"/>
      <c r="AA41" s="249"/>
      <c r="AB41" s="249"/>
      <c r="AC41" s="249"/>
      <c r="AD41" s="249"/>
      <c r="AE41" s="249"/>
      <c r="AF41" s="249"/>
      <c r="AG41" s="250"/>
      <c r="AH41" s="251" t="str">
        <f>IF(Eingabe!F45&amp;Eingabe!G45="","",Eingabe!F45&amp;"  /  "&amp;Eingabe!G45)</f>
        <v/>
      </c>
      <c r="AI41" s="251"/>
      <c r="AJ41" s="251"/>
      <c r="AK41" s="251"/>
      <c r="AL41" s="251"/>
      <c r="AM41" s="251"/>
      <c r="AN41" s="251"/>
      <c r="AO41" s="251"/>
      <c r="AP41" s="251"/>
      <c r="AQ41" s="251"/>
      <c r="AR41" s="251"/>
      <c r="AS41" s="251"/>
      <c r="AT41" s="251"/>
      <c r="AU41" s="251"/>
      <c r="AV41" s="251"/>
      <c r="AW41" s="251"/>
      <c r="AX41" s="251"/>
      <c r="AY41" s="251"/>
      <c r="AZ41" s="251"/>
      <c r="BA41" s="251"/>
      <c r="BB41" s="251"/>
      <c r="BC41" s="251"/>
      <c r="BD41" s="251"/>
      <c r="BE41" s="246" t="str">
        <f>IF(Eingabe!I45="","",Eingabe!I45)</f>
        <v/>
      </c>
      <c r="BF41" s="246"/>
      <c r="BG41" s="246"/>
      <c r="BH41" s="246"/>
      <c r="BI41" s="246"/>
      <c r="BJ41" s="246" t="str">
        <f>IF(Eingabe!I45="","",Eingabe!I45*Eingabe!B45)</f>
        <v/>
      </c>
      <c r="BK41" s="246"/>
      <c r="BL41" s="246"/>
      <c r="BM41" s="246"/>
      <c r="BN41" s="247"/>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22" t="str">
        <f>IF(Eingabe!A46="","",Eingabe!A46)</f>
        <v/>
      </c>
      <c r="B42" s="145"/>
      <c r="C42" s="145"/>
      <c r="D42" s="145" t="str">
        <f>IF(Eingabe!B46="","",Eingabe!B46)</f>
        <v/>
      </c>
      <c r="E42" s="145"/>
      <c r="F42" s="145"/>
      <c r="G42" s="145"/>
      <c r="H42" s="137" t="str">
        <f>IF(Eingabe!C46="","",Eingabe!C46)</f>
        <v/>
      </c>
      <c r="I42" s="137"/>
      <c r="J42" s="137"/>
      <c r="K42" s="137"/>
      <c r="L42" s="248" t="str">
        <f>IF(Eingabe!D46="","",Eingabe!D46)</f>
        <v/>
      </c>
      <c r="M42" s="249"/>
      <c r="N42" s="249"/>
      <c r="O42" s="249"/>
      <c r="P42" s="249"/>
      <c r="Q42" s="249"/>
      <c r="R42" s="249"/>
      <c r="S42" s="249"/>
      <c r="T42" s="249"/>
      <c r="U42" s="249"/>
      <c r="V42" s="249"/>
      <c r="W42" s="249"/>
      <c r="X42" s="249"/>
      <c r="Y42" s="249"/>
      <c r="Z42" s="249"/>
      <c r="AA42" s="249"/>
      <c r="AB42" s="249"/>
      <c r="AC42" s="249"/>
      <c r="AD42" s="249"/>
      <c r="AE42" s="249"/>
      <c r="AF42" s="249"/>
      <c r="AG42" s="250"/>
      <c r="AH42" s="251" t="str">
        <f>IF(Eingabe!F46&amp;Eingabe!G46="","",Eingabe!F46&amp;"  /  "&amp;Eingabe!G46)</f>
        <v/>
      </c>
      <c r="AI42" s="251"/>
      <c r="AJ42" s="251"/>
      <c r="AK42" s="251"/>
      <c r="AL42" s="251"/>
      <c r="AM42" s="251"/>
      <c r="AN42" s="251"/>
      <c r="AO42" s="251"/>
      <c r="AP42" s="251"/>
      <c r="AQ42" s="251"/>
      <c r="AR42" s="251"/>
      <c r="AS42" s="251"/>
      <c r="AT42" s="251"/>
      <c r="AU42" s="251"/>
      <c r="AV42" s="251"/>
      <c r="AW42" s="251"/>
      <c r="AX42" s="251"/>
      <c r="AY42" s="251"/>
      <c r="AZ42" s="251"/>
      <c r="BA42" s="251"/>
      <c r="BB42" s="251"/>
      <c r="BC42" s="251"/>
      <c r="BD42" s="251"/>
      <c r="BE42" s="246" t="str">
        <f>IF(Eingabe!I46="","",Eingabe!I46)</f>
        <v/>
      </c>
      <c r="BF42" s="246"/>
      <c r="BG42" s="246"/>
      <c r="BH42" s="246"/>
      <c r="BI42" s="246"/>
      <c r="BJ42" s="246" t="str">
        <f>IF(Eingabe!I46="","",Eingabe!I46*Eingabe!B46)</f>
        <v/>
      </c>
      <c r="BK42" s="246"/>
      <c r="BL42" s="246"/>
      <c r="BM42" s="246"/>
      <c r="BN42" s="247"/>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22" t="str">
        <f>IF(Eingabe!A47="","",Eingabe!A47)</f>
        <v/>
      </c>
      <c r="B43" s="145"/>
      <c r="C43" s="145"/>
      <c r="D43" s="145" t="str">
        <f>IF(Eingabe!B47="","",Eingabe!B47)</f>
        <v/>
      </c>
      <c r="E43" s="145"/>
      <c r="F43" s="145"/>
      <c r="G43" s="145"/>
      <c r="H43" s="137" t="str">
        <f>IF(Eingabe!C47="","",Eingabe!C47)</f>
        <v/>
      </c>
      <c r="I43" s="137"/>
      <c r="J43" s="137"/>
      <c r="K43" s="137"/>
      <c r="L43" s="248" t="str">
        <f>IF(Eingabe!D47="","",Eingabe!D47)</f>
        <v/>
      </c>
      <c r="M43" s="249"/>
      <c r="N43" s="249"/>
      <c r="O43" s="249"/>
      <c r="P43" s="249"/>
      <c r="Q43" s="249"/>
      <c r="R43" s="249"/>
      <c r="S43" s="249"/>
      <c r="T43" s="249"/>
      <c r="U43" s="249"/>
      <c r="V43" s="249"/>
      <c r="W43" s="249"/>
      <c r="X43" s="249"/>
      <c r="Y43" s="249"/>
      <c r="Z43" s="249"/>
      <c r="AA43" s="249"/>
      <c r="AB43" s="249"/>
      <c r="AC43" s="249"/>
      <c r="AD43" s="249"/>
      <c r="AE43" s="249"/>
      <c r="AF43" s="249"/>
      <c r="AG43" s="250"/>
      <c r="AH43" s="251" t="str">
        <f>IF(Eingabe!F47&amp;Eingabe!G47="","",Eingabe!F47&amp;"  /  "&amp;Eingabe!G47)</f>
        <v/>
      </c>
      <c r="AI43" s="251"/>
      <c r="AJ43" s="251"/>
      <c r="AK43" s="251"/>
      <c r="AL43" s="251"/>
      <c r="AM43" s="251"/>
      <c r="AN43" s="251"/>
      <c r="AO43" s="251"/>
      <c r="AP43" s="251"/>
      <c r="AQ43" s="251"/>
      <c r="AR43" s="251"/>
      <c r="AS43" s="251"/>
      <c r="AT43" s="251"/>
      <c r="AU43" s="251"/>
      <c r="AV43" s="251"/>
      <c r="AW43" s="251"/>
      <c r="AX43" s="251"/>
      <c r="AY43" s="251"/>
      <c r="AZ43" s="251"/>
      <c r="BA43" s="251"/>
      <c r="BB43" s="251"/>
      <c r="BC43" s="251"/>
      <c r="BD43" s="251"/>
      <c r="BE43" s="246" t="str">
        <f>IF(Eingabe!I47="","",Eingabe!I47)</f>
        <v/>
      </c>
      <c r="BF43" s="246"/>
      <c r="BG43" s="246"/>
      <c r="BH43" s="246"/>
      <c r="BI43" s="246"/>
      <c r="BJ43" s="246" t="str">
        <f>IF(Eingabe!I47="","",Eingabe!I47*Eingabe!B47)</f>
        <v/>
      </c>
      <c r="BK43" s="246"/>
      <c r="BL43" s="246"/>
      <c r="BM43" s="246"/>
      <c r="BN43" s="247"/>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22" t="str">
        <f>IF(Eingabe!A48="","",Eingabe!A48)</f>
        <v/>
      </c>
      <c r="B44" s="145"/>
      <c r="C44" s="145"/>
      <c r="D44" s="145" t="str">
        <f>IF(Eingabe!B48="","",Eingabe!B48)</f>
        <v/>
      </c>
      <c r="E44" s="145"/>
      <c r="F44" s="145"/>
      <c r="G44" s="145"/>
      <c r="H44" s="137" t="str">
        <f>IF(Eingabe!C48="","",Eingabe!C48)</f>
        <v/>
      </c>
      <c r="I44" s="137"/>
      <c r="J44" s="137"/>
      <c r="K44" s="137"/>
      <c r="L44" s="248" t="str">
        <f>IF(Eingabe!D48="","",Eingabe!D48)</f>
        <v/>
      </c>
      <c r="M44" s="249"/>
      <c r="N44" s="249"/>
      <c r="O44" s="249"/>
      <c r="P44" s="249"/>
      <c r="Q44" s="249"/>
      <c r="R44" s="249"/>
      <c r="S44" s="249"/>
      <c r="T44" s="249"/>
      <c r="U44" s="249"/>
      <c r="V44" s="249"/>
      <c r="W44" s="249"/>
      <c r="X44" s="249"/>
      <c r="Y44" s="249"/>
      <c r="Z44" s="249"/>
      <c r="AA44" s="249"/>
      <c r="AB44" s="249"/>
      <c r="AC44" s="249"/>
      <c r="AD44" s="249"/>
      <c r="AE44" s="249"/>
      <c r="AF44" s="249"/>
      <c r="AG44" s="250"/>
      <c r="AH44" s="251" t="str">
        <f>IF(Eingabe!F48&amp;Eingabe!G48="","",Eingabe!F48&amp;"  /  "&amp;Eingabe!G48)</f>
        <v/>
      </c>
      <c r="AI44" s="251"/>
      <c r="AJ44" s="251"/>
      <c r="AK44" s="251"/>
      <c r="AL44" s="251"/>
      <c r="AM44" s="251"/>
      <c r="AN44" s="251"/>
      <c r="AO44" s="251"/>
      <c r="AP44" s="251"/>
      <c r="AQ44" s="251"/>
      <c r="AR44" s="251"/>
      <c r="AS44" s="251"/>
      <c r="AT44" s="251"/>
      <c r="AU44" s="251"/>
      <c r="AV44" s="251"/>
      <c r="AW44" s="251"/>
      <c r="AX44" s="251"/>
      <c r="AY44" s="251"/>
      <c r="AZ44" s="251"/>
      <c r="BA44" s="251"/>
      <c r="BB44" s="251"/>
      <c r="BC44" s="251"/>
      <c r="BD44" s="251"/>
      <c r="BE44" s="246" t="str">
        <f>IF(Eingabe!I48="","",Eingabe!I48)</f>
        <v/>
      </c>
      <c r="BF44" s="246"/>
      <c r="BG44" s="246"/>
      <c r="BH44" s="246"/>
      <c r="BI44" s="246"/>
      <c r="BJ44" s="246" t="str">
        <f>IF(Eingabe!I48="","",Eingabe!I48*Eingabe!B48)</f>
        <v/>
      </c>
      <c r="BK44" s="246"/>
      <c r="BL44" s="246"/>
      <c r="BM44" s="246"/>
      <c r="BN44" s="247"/>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22" t="str">
        <f>IF(Eingabe!A49="","",Eingabe!A49)</f>
        <v/>
      </c>
      <c r="B45" s="145"/>
      <c r="C45" s="145"/>
      <c r="D45" s="145" t="str">
        <f>IF(Eingabe!B49="","",Eingabe!B49)</f>
        <v/>
      </c>
      <c r="E45" s="145"/>
      <c r="F45" s="145"/>
      <c r="G45" s="145"/>
      <c r="H45" s="137" t="str">
        <f>IF(Eingabe!C49="","",Eingabe!C49)</f>
        <v/>
      </c>
      <c r="I45" s="137"/>
      <c r="J45" s="137"/>
      <c r="K45" s="137"/>
      <c r="L45" s="248" t="str">
        <f>IF(Eingabe!D49="","",Eingabe!D49)</f>
        <v/>
      </c>
      <c r="M45" s="249"/>
      <c r="N45" s="249"/>
      <c r="O45" s="249"/>
      <c r="P45" s="249"/>
      <c r="Q45" s="249"/>
      <c r="R45" s="249"/>
      <c r="S45" s="249"/>
      <c r="T45" s="249"/>
      <c r="U45" s="249"/>
      <c r="V45" s="249"/>
      <c r="W45" s="249"/>
      <c r="X45" s="249"/>
      <c r="Y45" s="249"/>
      <c r="Z45" s="249"/>
      <c r="AA45" s="249"/>
      <c r="AB45" s="249"/>
      <c r="AC45" s="249"/>
      <c r="AD45" s="249"/>
      <c r="AE45" s="249"/>
      <c r="AF45" s="249"/>
      <c r="AG45" s="250"/>
      <c r="AH45" s="251" t="str">
        <f>IF(Eingabe!F49&amp;Eingabe!G49="","",Eingabe!F49&amp;"  /  "&amp;Eingabe!G49)</f>
        <v/>
      </c>
      <c r="AI45" s="251"/>
      <c r="AJ45" s="251"/>
      <c r="AK45" s="251"/>
      <c r="AL45" s="251"/>
      <c r="AM45" s="251"/>
      <c r="AN45" s="251"/>
      <c r="AO45" s="251"/>
      <c r="AP45" s="251"/>
      <c r="AQ45" s="251"/>
      <c r="AR45" s="251"/>
      <c r="AS45" s="251"/>
      <c r="AT45" s="251"/>
      <c r="AU45" s="251"/>
      <c r="AV45" s="251"/>
      <c r="AW45" s="251"/>
      <c r="AX45" s="251"/>
      <c r="AY45" s="251"/>
      <c r="AZ45" s="251"/>
      <c r="BA45" s="251"/>
      <c r="BB45" s="251"/>
      <c r="BC45" s="251"/>
      <c r="BD45" s="251"/>
      <c r="BE45" s="246" t="str">
        <f>IF(Eingabe!I49="","",Eingabe!I49)</f>
        <v/>
      </c>
      <c r="BF45" s="246"/>
      <c r="BG45" s="246"/>
      <c r="BH45" s="246"/>
      <c r="BI45" s="246"/>
      <c r="BJ45" s="246" t="str">
        <f>IF(Eingabe!I49="","",Eingabe!I49*Eingabe!B49)</f>
        <v/>
      </c>
      <c r="BK45" s="246"/>
      <c r="BL45" s="246"/>
      <c r="BM45" s="246"/>
      <c r="BN45" s="247"/>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22" t="str">
        <f>IF(Eingabe!A50="","",Eingabe!A50)</f>
        <v/>
      </c>
      <c r="B46" s="145"/>
      <c r="C46" s="145"/>
      <c r="D46" s="145" t="str">
        <f>IF(Eingabe!B50="","",Eingabe!B50)</f>
        <v/>
      </c>
      <c r="E46" s="145"/>
      <c r="F46" s="145"/>
      <c r="G46" s="145"/>
      <c r="H46" s="137" t="str">
        <f>IF(Eingabe!C50="","",Eingabe!C50)</f>
        <v/>
      </c>
      <c r="I46" s="137"/>
      <c r="J46" s="137"/>
      <c r="K46" s="137"/>
      <c r="L46" s="248" t="str">
        <f>IF(Eingabe!D50="","",Eingabe!D50)</f>
        <v/>
      </c>
      <c r="M46" s="249"/>
      <c r="N46" s="249"/>
      <c r="O46" s="249"/>
      <c r="P46" s="249"/>
      <c r="Q46" s="249"/>
      <c r="R46" s="249"/>
      <c r="S46" s="249"/>
      <c r="T46" s="249"/>
      <c r="U46" s="249"/>
      <c r="V46" s="249"/>
      <c r="W46" s="249"/>
      <c r="X46" s="249"/>
      <c r="Y46" s="249"/>
      <c r="Z46" s="249"/>
      <c r="AA46" s="249"/>
      <c r="AB46" s="249"/>
      <c r="AC46" s="249"/>
      <c r="AD46" s="249"/>
      <c r="AE46" s="249"/>
      <c r="AF46" s="249"/>
      <c r="AG46" s="250"/>
      <c r="AH46" s="251" t="str">
        <f>IF(Eingabe!F50&amp;Eingabe!G50="","",Eingabe!F50&amp;"  /  "&amp;Eingabe!G50)</f>
        <v/>
      </c>
      <c r="AI46" s="251"/>
      <c r="AJ46" s="251"/>
      <c r="AK46" s="251"/>
      <c r="AL46" s="251"/>
      <c r="AM46" s="251"/>
      <c r="AN46" s="251"/>
      <c r="AO46" s="251"/>
      <c r="AP46" s="251"/>
      <c r="AQ46" s="251"/>
      <c r="AR46" s="251"/>
      <c r="AS46" s="251"/>
      <c r="AT46" s="251"/>
      <c r="AU46" s="251"/>
      <c r="AV46" s="251"/>
      <c r="AW46" s="251"/>
      <c r="AX46" s="251"/>
      <c r="AY46" s="251"/>
      <c r="AZ46" s="251"/>
      <c r="BA46" s="251"/>
      <c r="BB46" s="251"/>
      <c r="BC46" s="251"/>
      <c r="BD46" s="251"/>
      <c r="BE46" s="246" t="str">
        <f>IF(Eingabe!I50="","",Eingabe!I50)</f>
        <v/>
      </c>
      <c r="BF46" s="246"/>
      <c r="BG46" s="246"/>
      <c r="BH46" s="246"/>
      <c r="BI46" s="246"/>
      <c r="BJ46" s="246" t="str">
        <f>IF(Eingabe!I50="","",Eingabe!I50*Eingabe!B50)</f>
        <v/>
      </c>
      <c r="BK46" s="246"/>
      <c r="BL46" s="246"/>
      <c r="BM46" s="246"/>
      <c r="BN46" s="247"/>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22" t="str">
        <f>IF(Eingabe!A51="","",Eingabe!A51)</f>
        <v/>
      </c>
      <c r="B47" s="145"/>
      <c r="C47" s="145"/>
      <c r="D47" s="145" t="str">
        <f>IF(Eingabe!B51="","",Eingabe!B51)</f>
        <v/>
      </c>
      <c r="E47" s="145"/>
      <c r="F47" s="145"/>
      <c r="G47" s="145"/>
      <c r="H47" s="137" t="str">
        <f>IF(Eingabe!C51="","",Eingabe!C51)</f>
        <v/>
      </c>
      <c r="I47" s="137"/>
      <c r="J47" s="137"/>
      <c r="K47" s="137"/>
      <c r="L47" s="248" t="str">
        <f>IF(Eingabe!D51="","",Eingabe!D51)</f>
        <v/>
      </c>
      <c r="M47" s="249"/>
      <c r="N47" s="249"/>
      <c r="O47" s="249"/>
      <c r="P47" s="249"/>
      <c r="Q47" s="249"/>
      <c r="R47" s="249"/>
      <c r="S47" s="249"/>
      <c r="T47" s="249"/>
      <c r="U47" s="249"/>
      <c r="V47" s="249"/>
      <c r="W47" s="249"/>
      <c r="X47" s="249"/>
      <c r="Y47" s="249"/>
      <c r="Z47" s="249"/>
      <c r="AA47" s="249"/>
      <c r="AB47" s="249"/>
      <c r="AC47" s="249"/>
      <c r="AD47" s="249"/>
      <c r="AE47" s="249"/>
      <c r="AF47" s="249"/>
      <c r="AG47" s="250"/>
      <c r="AH47" s="251" t="str">
        <f>IF(Eingabe!F51&amp;Eingabe!G51="","",Eingabe!F51&amp;"  /  "&amp;Eingabe!G51)</f>
        <v/>
      </c>
      <c r="AI47" s="251"/>
      <c r="AJ47" s="251"/>
      <c r="AK47" s="251"/>
      <c r="AL47" s="251"/>
      <c r="AM47" s="251"/>
      <c r="AN47" s="251"/>
      <c r="AO47" s="251"/>
      <c r="AP47" s="251"/>
      <c r="AQ47" s="251"/>
      <c r="AR47" s="251"/>
      <c r="AS47" s="251"/>
      <c r="AT47" s="251"/>
      <c r="AU47" s="251"/>
      <c r="AV47" s="251"/>
      <c r="AW47" s="251"/>
      <c r="AX47" s="251"/>
      <c r="AY47" s="251"/>
      <c r="AZ47" s="251"/>
      <c r="BA47" s="251"/>
      <c r="BB47" s="251"/>
      <c r="BC47" s="251"/>
      <c r="BD47" s="251"/>
      <c r="BE47" s="246" t="str">
        <f>IF(Eingabe!I51="","",Eingabe!I51)</f>
        <v/>
      </c>
      <c r="BF47" s="246"/>
      <c r="BG47" s="246"/>
      <c r="BH47" s="246"/>
      <c r="BI47" s="246"/>
      <c r="BJ47" s="246" t="str">
        <f>IF(Eingabe!I51="","",Eingabe!I51*Eingabe!B51)</f>
        <v/>
      </c>
      <c r="BK47" s="246"/>
      <c r="BL47" s="246"/>
      <c r="BM47" s="246"/>
      <c r="BN47" s="247"/>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20" t="str">
        <f>IF(Eingabe!A52="","",Eingabe!A52)</f>
        <v/>
      </c>
      <c r="B48" s="221"/>
      <c r="C48" s="221"/>
      <c r="D48" s="221" t="str">
        <f>IF(Eingabe!B52="","",Eingabe!B52)</f>
        <v/>
      </c>
      <c r="E48" s="221"/>
      <c r="F48" s="221"/>
      <c r="G48" s="221"/>
      <c r="H48" s="182" t="str">
        <f>IF(Eingabe!C52="","",Eingabe!C52)</f>
        <v/>
      </c>
      <c r="I48" s="182"/>
      <c r="J48" s="182"/>
      <c r="K48" s="182"/>
      <c r="L48" s="275" t="str">
        <f>IF(Eingabe!D52="","",Eingabe!D52)</f>
        <v/>
      </c>
      <c r="M48" s="276"/>
      <c r="N48" s="276"/>
      <c r="O48" s="276"/>
      <c r="P48" s="276"/>
      <c r="Q48" s="276"/>
      <c r="R48" s="276"/>
      <c r="S48" s="276"/>
      <c r="T48" s="276"/>
      <c r="U48" s="276"/>
      <c r="V48" s="276"/>
      <c r="W48" s="276"/>
      <c r="X48" s="276"/>
      <c r="Y48" s="276"/>
      <c r="Z48" s="276"/>
      <c r="AA48" s="276"/>
      <c r="AB48" s="276"/>
      <c r="AC48" s="276"/>
      <c r="AD48" s="276"/>
      <c r="AE48" s="276"/>
      <c r="AF48" s="276"/>
      <c r="AG48" s="277"/>
      <c r="AH48" s="251" t="str">
        <f>IF(Eingabe!F52&amp;Eingabe!G52="","",Eingabe!F52&amp;"  /  "&amp;Eingabe!G52)</f>
        <v/>
      </c>
      <c r="AI48" s="251"/>
      <c r="AJ48" s="251"/>
      <c r="AK48" s="251"/>
      <c r="AL48" s="251"/>
      <c r="AM48" s="251"/>
      <c r="AN48" s="251"/>
      <c r="AO48" s="251"/>
      <c r="AP48" s="251"/>
      <c r="AQ48" s="251"/>
      <c r="AR48" s="251"/>
      <c r="AS48" s="251"/>
      <c r="AT48" s="251"/>
      <c r="AU48" s="251"/>
      <c r="AV48" s="251"/>
      <c r="AW48" s="251"/>
      <c r="AX48" s="251"/>
      <c r="AY48" s="251"/>
      <c r="AZ48" s="251"/>
      <c r="BA48" s="251"/>
      <c r="BB48" s="251"/>
      <c r="BC48" s="251"/>
      <c r="BD48" s="251"/>
      <c r="BE48" s="269" t="str">
        <f>IF(Eingabe!I52="","",Eingabe!I52)</f>
        <v/>
      </c>
      <c r="BF48" s="269"/>
      <c r="BG48" s="269"/>
      <c r="BH48" s="269"/>
      <c r="BI48" s="269"/>
      <c r="BJ48" s="269" t="str">
        <f>IF(Eingabe!I52="","",Eingabe!I52*Eingabe!B52)</f>
        <v/>
      </c>
      <c r="BK48" s="269"/>
      <c r="BL48" s="269"/>
      <c r="BM48" s="269"/>
      <c r="BN48" s="272"/>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58"/>
      <c r="B49" s="259"/>
      <c r="C49" s="259"/>
      <c r="D49" s="259"/>
      <c r="E49" s="259"/>
      <c r="F49" s="259"/>
      <c r="G49" s="259"/>
      <c r="H49" s="259"/>
      <c r="I49" s="259"/>
      <c r="J49" s="259"/>
      <c r="K49" s="259"/>
      <c r="L49" s="259"/>
      <c r="M49" s="259"/>
      <c r="N49" s="259"/>
      <c r="O49" s="259"/>
      <c r="P49" s="259"/>
      <c r="Q49" s="259"/>
      <c r="R49" s="259"/>
      <c r="S49" s="259"/>
      <c r="T49" s="259"/>
      <c r="U49" s="259"/>
      <c r="V49" s="259"/>
      <c r="W49" s="259"/>
      <c r="X49" s="259"/>
      <c r="Y49" s="259"/>
      <c r="Z49" s="259"/>
      <c r="AA49" s="259"/>
      <c r="AB49" s="259"/>
      <c r="AC49" s="259"/>
      <c r="AD49" s="259"/>
      <c r="AE49" s="259"/>
      <c r="AF49" s="259"/>
      <c r="AG49" s="260"/>
      <c r="AH49" s="282" t="s">
        <v>36</v>
      </c>
      <c r="AI49" s="283"/>
      <c r="AJ49" s="283"/>
      <c r="AK49" s="283"/>
      <c r="AL49" s="283"/>
      <c r="AM49" s="283"/>
      <c r="AN49" s="283"/>
      <c r="AO49" s="283"/>
      <c r="AP49" s="283"/>
      <c r="AQ49" s="283"/>
      <c r="AR49" s="283"/>
      <c r="AS49" s="283"/>
      <c r="AT49" s="283"/>
      <c r="AU49" s="283"/>
      <c r="AV49" s="283"/>
      <c r="AW49" s="283"/>
      <c r="AX49" s="283"/>
      <c r="AY49" s="283"/>
      <c r="AZ49" s="283"/>
      <c r="BA49" s="283"/>
      <c r="BB49" s="283"/>
      <c r="BC49" s="283"/>
      <c r="BD49" s="283"/>
      <c r="BE49" s="270"/>
      <c r="BF49" s="270"/>
      <c r="BG49" s="270"/>
      <c r="BH49" s="270"/>
      <c r="BI49" s="270"/>
      <c r="BJ49" s="270"/>
      <c r="BK49" s="270"/>
      <c r="BL49" s="270"/>
      <c r="BM49" s="270"/>
      <c r="BN49" s="271"/>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61"/>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3"/>
      <c r="AH50" s="273" t="s">
        <v>32</v>
      </c>
      <c r="AI50" s="274"/>
      <c r="AJ50" s="274"/>
      <c r="AK50" s="274"/>
      <c r="AL50" s="274"/>
      <c r="AM50" s="274"/>
      <c r="AN50" s="274"/>
      <c r="AO50" s="274"/>
      <c r="AP50" s="274"/>
      <c r="AQ50" s="274"/>
      <c r="AR50" s="274"/>
      <c r="AS50" s="274"/>
      <c r="AT50" s="274"/>
      <c r="AU50" s="274"/>
      <c r="AV50" s="274"/>
      <c r="AW50" s="274"/>
      <c r="AX50" s="274"/>
      <c r="AY50" s="274"/>
      <c r="AZ50" s="274"/>
      <c r="BA50" s="274"/>
      <c r="BB50" s="274"/>
      <c r="BC50" s="274"/>
      <c r="BD50" s="274"/>
      <c r="BE50" s="278">
        <f>SUM(BJ4:BN48)</f>
        <v>1.1929999999999998</v>
      </c>
      <c r="BF50" s="278"/>
      <c r="BG50" s="278"/>
      <c r="BH50" s="278"/>
      <c r="BI50" s="278"/>
      <c r="BJ50" s="278"/>
      <c r="BK50" s="278"/>
      <c r="BL50" s="278"/>
      <c r="BM50" s="278"/>
      <c r="BN50" s="279"/>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61"/>
      <c r="B51" s="262"/>
      <c r="C51" s="262"/>
      <c r="D51" s="262"/>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3"/>
      <c r="AH51" s="273" t="s">
        <v>34</v>
      </c>
      <c r="AI51" s="274"/>
      <c r="AJ51" s="274"/>
      <c r="AK51" s="274"/>
      <c r="AL51" s="274"/>
      <c r="AM51" s="274"/>
      <c r="AN51" s="274"/>
      <c r="AO51" s="274"/>
      <c r="AP51" s="274"/>
      <c r="AQ51" s="274"/>
      <c r="AR51" s="274"/>
      <c r="AS51" s="274"/>
      <c r="AT51" s="274"/>
      <c r="AU51" s="274"/>
      <c r="AV51" s="274"/>
      <c r="AW51" s="274"/>
      <c r="AX51" s="274"/>
      <c r="AY51" s="274"/>
      <c r="AZ51" s="274"/>
      <c r="BA51" s="274"/>
      <c r="BB51" s="274"/>
      <c r="BC51" s="274"/>
      <c r="BD51" s="274"/>
      <c r="BE51" s="280">
        <f>BE50*0.1</f>
        <v>0.11929999999999999</v>
      </c>
      <c r="BF51" s="280"/>
      <c r="BG51" s="280"/>
      <c r="BH51" s="280"/>
      <c r="BI51" s="280"/>
      <c r="BJ51" s="280"/>
      <c r="BK51" s="280"/>
      <c r="BL51" s="280"/>
      <c r="BM51" s="280"/>
      <c r="BN51" s="281"/>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64"/>
      <c r="B52" s="265"/>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6"/>
      <c r="AH52" s="267" t="s">
        <v>33</v>
      </c>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80">
        <f>SUM(BE49:BN51)</f>
        <v>1.3122999999999998</v>
      </c>
      <c r="BF52" s="280"/>
      <c r="BG52" s="280"/>
      <c r="BH52" s="280"/>
      <c r="BI52" s="280"/>
      <c r="BJ52" s="280"/>
      <c r="BK52" s="280"/>
      <c r="BL52" s="280"/>
      <c r="BM52" s="280"/>
      <c r="BN52" s="281"/>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34" t="s">
        <v>0</v>
      </c>
      <c r="B53" s="135"/>
      <c r="C53" s="135"/>
      <c r="D53" s="135"/>
      <c r="E53" s="135"/>
      <c r="F53" s="135"/>
      <c r="G53" s="135"/>
      <c r="H53" s="135"/>
      <c r="I53" s="135"/>
      <c r="J53" s="135"/>
      <c r="K53" s="135"/>
      <c r="L53" s="135"/>
      <c r="M53" s="135"/>
      <c r="N53" s="135"/>
      <c r="O53" s="135"/>
      <c r="P53" s="135"/>
      <c r="Q53" s="135"/>
      <c r="R53" s="135"/>
      <c r="S53" s="135"/>
      <c r="T53" s="135"/>
      <c r="U53" s="135"/>
      <c r="V53" s="136"/>
      <c r="W53" s="134" t="s">
        <v>1</v>
      </c>
      <c r="X53" s="135"/>
      <c r="Y53" s="135"/>
      <c r="Z53" s="135"/>
      <c r="AA53" s="135"/>
      <c r="AB53" s="135"/>
      <c r="AC53" s="135"/>
      <c r="AD53" s="135"/>
      <c r="AE53" s="135"/>
      <c r="AF53" s="135"/>
      <c r="AG53" s="135"/>
      <c r="AH53" s="135"/>
      <c r="AI53" s="135"/>
      <c r="AJ53" s="135"/>
      <c r="AK53" s="135"/>
      <c r="AL53" s="135"/>
      <c r="AM53" s="135"/>
      <c r="AN53" s="135"/>
      <c r="AO53" s="135"/>
      <c r="AP53" s="135"/>
      <c r="AQ53" s="135"/>
      <c r="AR53" s="136"/>
      <c r="AS53" s="134" t="s">
        <v>2</v>
      </c>
      <c r="AT53" s="135"/>
      <c r="AU53" s="135"/>
      <c r="AV53" s="135"/>
      <c r="AW53" s="135"/>
      <c r="AX53" s="135"/>
      <c r="AY53" s="135"/>
      <c r="AZ53" s="135"/>
      <c r="BA53" s="136"/>
      <c r="BB53" s="134" t="s">
        <v>3</v>
      </c>
      <c r="BC53" s="135"/>
      <c r="BD53" s="135"/>
      <c r="BE53" s="135"/>
      <c r="BF53" s="135"/>
      <c r="BG53" s="135"/>
      <c r="BH53" s="135"/>
      <c r="BI53" s="135"/>
      <c r="BJ53" s="135"/>
      <c r="BK53" s="135"/>
      <c r="BL53" s="135"/>
      <c r="BM53" s="135"/>
      <c r="BN53" s="136"/>
    </row>
    <row r="54" spans="1:256" ht="10.5" customHeight="1" x14ac:dyDescent="0.2">
      <c r="A54" s="167" t="str">
        <f>IF(Eingabe!O3="","",Eingabe!O3)</f>
        <v>Beilage 10</v>
      </c>
      <c r="B54" s="168"/>
      <c r="C54" s="168"/>
      <c r="D54" s="168"/>
      <c r="E54" s="168"/>
      <c r="F54" s="168"/>
      <c r="G54" s="168"/>
      <c r="H54" s="168"/>
      <c r="I54" s="168"/>
      <c r="J54" s="168"/>
      <c r="K54" s="168"/>
      <c r="L54" s="168"/>
      <c r="M54" s="168"/>
      <c r="N54" s="168"/>
      <c r="O54" s="168"/>
      <c r="P54" s="168"/>
      <c r="Q54" s="168"/>
      <c r="R54" s="168"/>
      <c r="S54" s="168"/>
      <c r="T54" s="168"/>
      <c r="U54" s="168"/>
      <c r="V54" s="169"/>
      <c r="W54" s="186" t="str">
        <f>IF(Eingabe!E3="","",Eingabe!E3)</f>
        <v>Max Mustermann</v>
      </c>
      <c r="X54" s="187"/>
      <c r="Y54" s="187"/>
      <c r="Z54" s="187"/>
      <c r="AA54" s="187"/>
      <c r="AB54" s="187"/>
      <c r="AC54" s="187"/>
      <c r="AD54" s="187"/>
      <c r="AE54" s="187"/>
      <c r="AF54" s="187"/>
      <c r="AG54" s="187"/>
      <c r="AH54" s="187"/>
      <c r="AI54" s="187"/>
      <c r="AJ54" s="187"/>
      <c r="AK54" s="187"/>
      <c r="AL54" s="187"/>
      <c r="AM54" s="187"/>
      <c r="AN54" s="187"/>
      <c r="AO54" s="187"/>
      <c r="AP54" s="187"/>
      <c r="AQ54" s="187"/>
      <c r="AR54" s="188"/>
      <c r="AS54" s="210" t="str">
        <f>IF(Eingabe!I1="","",Eingabe!I1)</f>
        <v/>
      </c>
      <c r="AT54" s="211"/>
      <c r="AU54" s="211"/>
      <c r="AV54" s="211"/>
      <c r="AW54" s="211"/>
      <c r="AX54" s="211"/>
      <c r="AY54" s="211"/>
      <c r="AZ54" s="211"/>
      <c r="BA54" s="212"/>
      <c r="BB54" s="210" t="str">
        <f>IF(Eingabe!I2="","",Eingabe!I2)</f>
        <v/>
      </c>
      <c r="BC54" s="211"/>
      <c r="BD54" s="211"/>
      <c r="BE54" s="211"/>
      <c r="BF54" s="211"/>
      <c r="BG54" s="211"/>
      <c r="BH54" s="211"/>
      <c r="BI54" s="211"/>
      <c r="BJ54" s="211"/>
      <c r="BK54" s="211"/>
      <c r="BL54" s="211"/>
      <c r="BM54" s="211"/>
      <c r="BN54" s="212"/>
    </row>
    <row r="55" spans="1:256" ht="10.5" customHeight="1" thickBot="1" x14ac:dyDescent="0.25">
      <c r="A55" s="170"/>
      <c r="B55" s="171"/>
      <c r="C55" s="171"/>
      <c r="D55" s="171"/>
      <c r="E55" s="171"/>
      <c r="F55" s="171"/>
      <c r="G55" s="171"/>
      <c r="H55" s="171"/>
      <c r="I55" s="171"/>
      <c r="J55" s="171"/>
      <c r="K55" s="171"/>
      <c r="L55" s="171"/>
      <c r="M55" s="171"/>
      <c r="N55" s="171"/>
      <c r="O55" s="171"/>
      <c r="P55" s="171"/>
      <c r="Q55" s="171"/>
      <c r="R55" s="171"/>
      <c r="S55" s="171"/>
      <c r="T55" s="171"/>
      <c r="U55" s="171"/>
      <c r="V55" s="172"/>
      <c r="W55" s="189"/>
      <c r="X55" s="190"/>
      <c r="Y55" s="190"/>
      <c r="Z55" s="190"/>
      <c r="AA55" s="190"/>
      <c r="AB55" s="190"/>
      <c r="AC55" s="190"/>
      <c r="AD55" s="190"/>
      <c r="AE55" s="190"/>
      <c r="AF55" s="190"/>
      <c r="AG55" s="190"/>
      <c r="AH55" s="190"/>
      <c r="AI55" s="190"/>
      <c r="AJ55" s="190"/>
      <c r="AK55" s="190"/>
      <c r="AL55" s="190"/>
      <c r="AM55" s="190"/>
      <c r="AN55" s="190"/>
      <c r="AO55" s="190"/>
      <c r="AP55" s="190"/>
      <c r="AQ55" s="190"/>
      <c r="AR55" s="191"/>
      <c r="AS55" s="213"/>
      <c r="AT55" s="214"/>
      <c r="AU55" s="214"/>
      <c r="AV55" s="214"/>
      <c r="AW55" s="214"/>
      <c r="AX55" s="214"/>
      <c r="AY55" s="214"/>
      <c r="AZ55" s="214"/>
      <c r="BA55" s="215"/>
      <c r="BB55" s="213"/>
      <c r="BC55" s="214"/>
      <c r="BD55" s="214"/>
      <c r="BE55" s="214"/>
      <c r="BF55" s="214"/>
      <c r="BG55" s="214"/>
      <c r="BH55" s="214"/>
      <c r="BI55" s="214"/>
      <c r="BJ55" s="214"/>
      <c r="BK55" s="214"/>
      <c r="BL55" s="214"/>
      <c r="BM55" s="214"/>
      <c r="BN55" s="215"/>
    </row>
    <row r="56" spans="1:256" ht="10.5" customHeight="1" x14ac:dyDescent="0.2">
      <c r="A56" s="252"/>
      <c r="B56" s="253"/>
      <c r="C56" s="253"/>
      <c r="D56" s="253"/>
      <c r="E56" s="253"/>
      <c r="F56" s="253"/>
      <c r="G56" s="253"/>
      <c r="H56" s="253"/>
      <c r="I56" s="253"/>
      <c r="J56" s="253"/>
      <c r="K56" s="253"/>
      <c r="L56" s="253"/>
      <c r="M56" s="253"/>
      <c r="N56" s="253"/>
      <c r="O56" s="253"/>
      <c r="P56" s="253"/>
      <c r="Q56" s="253"/>
      <c r="R56" s="253"/>
      <c r="S56" s="253"/>
      <c r="T56" s="253"/>
      <c r="U56" s="253"/>
      <c r="V56" s="254"/>
      <c r="W56" s="134" t="s">
        <v>4</v>
      </c>
      <c r="X56" s="135"/>
      <c r="Y56" s="135"/>
      <c r="Z56" s="135"/>
      <c r="AA56" s="135"/>
      <c r="AB56" s="135"/>
      <c r="AC56" s="135"/>
      <c r="AD56" s="135"/>
      <c r="AE56" s="135"/>
      <c r="AF56" s="136"/>
      <c r="AG56" s="134" t="s">
        <v>5</v>
      </c>
      <c r="AH56" s="135"/>
      <c r="AI56" s="135"/>
      <c r="AJ56" s="136"/>
      <c r="AK56" s="134" t="s">
        <v>6</v>
      </c>
      <c r="AL56" s="135"/>
      <c r="AM56" s="135"/>
      <c r="AN56" s="136"/>
      <c r="AO56" s="134" t="s">
        <v>7</v>
      </c>
      <c r="AP56" s="135"/>
      <c r="AQ56" s="135"/>
      <c r="AR56" s="136"/>
      <c r="AS56" s="134" t="s">
        <v>8</v>
      </c>
      <c r="AT56" s="135"/>
      <c r="AU56" s="135"/>
      <c r="AV56" s="135"/>
      <c r="AW56" s="135"/>
      <c r="AX56" s="135"/>
      <c r="AY56" s="135"/>
      <c r="AZ56" s="135"/>
      <c r="BA56" s="135"/>
      <c r="BB56" s="135"/>
      <c r="BC56" s="135"/>
      <c r="BD56" s="135"/>
      <c r="BE56" s="135"/>
      <c r="BF56" s="135"/>
      <c r="BG56" s="135"/>
      <c r="BH56" s="136"/>
      <c r="BI56" s="134" t="s">
        <v>9</v>
      </c>
      <c r="BJ56" s="135"/>
      <c r="BK56" s="135"/>
      <c r="BL56" s="135"/>
      <c r="BM56" s="135"/>
      <c r="BN56" s="136"/>
    </row>
    <row r="57" spans="1:256" ht="10.5" customHeight="1" x14ac:dyDescent="0.2">
      <c r="A57" s="255"/>
      <c r="B57" s="256"/>
      <c r="C57" s="256"/>
      <c r="D57" s="256"/>
      <c r="E57" s="256"/>
      <c r="F57" s="256"/>
      <c r="G57" s="256"/>
      <c r="H57" s="256"/>
      <c r="I57" s="256"/>
      <c r="J57" s="256"/>
      <c r="K57" s="256"/>
      <c r="L57" s="256"/>
      <c r="M57" s="256"/>
      <c r="N57" s="256"/>
      <c r="O57" s="256"/>
      <c r="P57" s="256"/>
      <c r="Q57" s="256"/>
      <c r="R57" s="256"/>
      <c r="S57" s="256"/>
      <c r="T57" s="256"/>
      <c r="U57" s="256"/>
      <c r="V57" s="257"/>
      <c r="W57" s="167" t="str">
        <f>IF(CONCATENATE(Eingabe!E1," ", Eingabe!E2)="","",CONCATENATE(Eingabe!E1," ", Eingabe!E2))</f>
        <v>xxHELx xx</v>
      </c>
      <c r="X57" s="168"/>
      <c r="Y57" s="168"/>
      <c r="Z57" s="168"/>
      <c r="AA57" s="168"/>
      <c r="AB57" s="168"/>
      <c r="AC57" s="168"/>
      <c r="AD57" s="168"/>
      <c r="AE57" s="168"/>
      <c r="AF57" s="169"/>
      <c r="AG57" s="167" t="str">
        <f>IF(Eingabe!E4="","",Eingabe!E4)</f>
        <v>MusM</v>
      </c>
      <c r="AH57" s="168"/>
      <c r="AI57" s="168"/>
      <c r="AJ57" s="169"/>
      <c r="AK57" s="152" t="str">
        <f>IF(Eingabe!I3="","",Eingabe!I3)</f>
        <v/>
      </c>
      <c r="AL57" s="153"/>
      <c r="AM57" s="153"/>
      <c r="AN57" s="154"/>
      <c r="AO57" s="152" t="str">
        <f>IF(Eingabe!I4="","",Eingabe!I4)</f>
        <v/>
      </c>
      <c r="AP57" s="153"/>
      <c r="AQ57" s="153"/>
      <c r="AR57" s="154"/>
      <c r="AS57" s="139" t="s">
        <v>37</v>
      </c>
      <c r="AT57" s="140"/>
      <c r="AU57" s="140"/>
      <c r="AV57" s="140"/>
      <c r="AW57" s="140"/>
      <c r="AX57" s="140"/>
      <c r="AY57" s="140"/>
      <c r="AZ57" s="140"/>
      <c r="BA57" s="140"/>
      <c r="BB57" s="140"/>
      <c r="BC57" s="140"/>
      <c r="BD57" s="140"/>
      <c r="BE57" s="140"/>
      <c r="BF57" s="140"/>
      <c r="BG57" s="140"/>
      <c r="BH57" s="141"/>
      <c r="BI57" s="167" t="str">
        <f>IF(Eingabe!I5="","",Eingabe!I5)</f>
        <v>StrH</v>
      </c>
      <c r="BJ57" s="168"/>
      <c r="BK57" s="168"/>
      <c r="BL57" s="168"/>
      <c r="BM57" s="168"/>
      <c r="BN57" s="169"/>
    </row>
    <row r="58" spans="1:256" ht="10.5" customHeight="1" thickBot="1" x14ac:dyDescent="0.25">
      <c r="A58" s="255"/>
      <c r="B58" s="256"/>
      <c r="C58" s="256"/>
      <c r="D58" s="256"/>
      <c r="E58" s="256"/>
      <c r="F58" s="256"/>
      <c r="G58" s="256"/>
      <c r="H58" s="256"/>
      <c r="I58" s="256"/>
      <c r="J58" s="256"/>
      <c r="K58" s="256"/>
      <c r="L58" s="256"/>
      <c r="M58" s="256"/>
      <c r="N58" s="256"/>
      <c r="O58" s="256"/>
      <c r="P58" s="256"/>
      <c r="Q58" s="256"/>
      <c r="R58" s="256"/>
      <c r="S58" s="256"/>
      <c r="T58" s="256"/>
      <c r="U58" s="256"/>
      <c r="V58" s="257"/>
      <c r="W58" s="170"/>
      <c r="X58" s="171"/>
      <c r="Y58" s="171"/>
      <c r="Z58" s="171"/>
      <c r="AA58" s="171"/>
      <c r="AB58" s="171"/>
      <c r="AC58" s="171"/>
      <c r="AD58" s="171"/>
      <c r="AE58" s="171"/>
      <c r="AF58" s="172"/>
      <c r="AG58" s="170"/>
      <c r="AH58" s="171"/>
      <c r="AI58" s="171"/>
      <c r="AJ58" s="172"/>
      <c r="AK58" s="155"/>
      <c r="AL58" s="156"/>
      <c r="AM58" s="156"/>
      <c r="AN58" s="157"/>
      <c r="AO58" s="155"/>
      <c r="AP58" s="156"/>
      <c r="AQ58" s="156"/>
      <c r="AR58" s="157"/>
      <c r="AS58" s="142"/>
      <c r="AT58" s="143"/>
      <c r="AU58" s="143"/>
      <c r="AV58" s="143"/>
      <c r="AW58" s="143"/>
      <c r="AX58" s="143"/>
      <c r="AY58" s="143"/>
      <c r="AZ58" s="143"/>
      <c r="BA58" s="143"/>
      <c r="BB58" s="143"/>
      <c r="BC58" s="143"/>
      <c r="BD58" s="143"/>
      <c r="BE58" s="143"/>
      <c r="BF58" s="143"/>
      <c r="BG58" s="143"/>
      <c r="BH58" s="144"/>
      <c r="BI58" s="170"/>
      <c r="BJ58" s="171"/>
      <c r="BK58" s="171"/>
      <c r="BL58" s="171"/>
      <c r="BM58" s="171"/>
      <c r="BN58" s="172"/>
    </row>
    <row r="59" spans="1:256" ht="10.5" customHeight="1" x14ac:dyDescent="0.2">
      <c r="A59" s="255"/>
      <c r="B59" s="256"/>
      <c r="C59" s="256"/>
      <c r="D59" s="256"/>
      <c r="E59" s="256"/>
      <c r="F59" s="256"/>
      <c r="G59" s="256"/>
      <c r="H59" s="256"/>
      <c r="I59" s="256"/>
      <c r="J59" s="256"/>
      <c r="K59" s="256"/>
      <c r="L59" s="256"/>
      <c r="M59" s="256"/>
      <c r="N59" s="256"/>
      <c r="O59" s="256"/>
      <c r="P59" s="256"/>
      <c r="Q59" s="256"/>
      <c r="R59" s="256"/>
      <c r="S59" s="256"/>
      <c r="T59" s="256"/>
      <c r="U59" s="256"/>
      <c r="V59" s="257"/>
      <c r="W59" s="134" t="s">
        <v>10</v>
      </c>
      <c r="X59" s="135"/>
      <c r="Y59" s="135"/>
      <c r="Z59" s="135"/>
      <c r="AA59" s="135"/>
      <c r="AB59" s="135"/>
      <c r="AC59" s="135"/>
      <c r="AD59" s="135"/>
      <c r="AE59" s="135"/>
      <c r="AF59" s="135"/>
      <c r="AG59" s="135"/>
      <c r="AH59" s="135"/>
      <c r="AI59" s="135"/>
      <c r="AJ59" s="135"/>
      <c r="AK59" s="135"/>
      <c r="AL59" s="135"/>
      <c r="AM59" s="135"/>
      <c r="AN59" s="135"/>
      <c r="AO59" s="135"/>
      <c r="AP59" s="135"/>
      <c r="AQ59" s="135"/>
      <c r="AR59" s="136"/>
      <c r="AS59" s="134" t="s">
        <v>11</v>
      </c>
      <c r="AT59" s="135"/>
      <c r="AU59" s="135"/>
      <c r="AV59" s="135"/>
      <c r="AW59" s="135"/>
      <c r="AX59" s="135"/>
      <c r="AY59" s="136"/>
      <c r="AZ59" s="134" t="s">
        <v>12</v>
      </c>
      <c r="BA59" s="135"/>
      <c r="BB59" s="135"/>
      <c r="BC59" s="135"/>
      <c r="BD59" s="136"/>
      <c r="BE59" s="134" t="s">
        <v>13</v>
      </c>
      <c r="BF59" s="135"/>
      <c r="BG59" s="135"/>
      <c r="BH59" s="135"/>
      <c r="BI59" s="135"/>
      <c r="BJ59" s="135"/>
      <c r="BK59" s="135"/>
      <c r="BL59" s="135"/>
      <c r="BM59" s="135"/>
      <c r="BN59" s="136"/>
    </row>
    <row r="60" spans="1:256" ht="10.5" customHeight="1" x14ac:dyDescent="0.2">
      <c r="A60" s="255"/>
      <c r="B60" s="256"/>
      <c r="C60" s="256"/>
      <c r="D60" s="256"/>
      <c r="E60" s="256"/>
      <c r="F60" s="256"/>
      <c r="G60" s="256"/>
      <c r="H60" s="256"/>
      <c r="I60" s="256"/>
      <c r="J60" s="256"/>
      <c r="K60" s="256"/>
      <c r="L60" s="256"/>
      <c r="M60" s="256"/>
      <c r="N60" s="256"/>
      <c r="O60" s="256"/>
      <c r="P60" s="256"/>
      <c r="Q60" s="256"/>
      <c r="R60" s="256"/>
      <c r="S60" s="256"/>
      <c r="T60" s="256"/>
      <c r="U60" s="256"/>
      <c r="V60" s="257"/>
      <c r="W60" s="179" t="str">
        <f>IF(Eingabe!E5="","",Eingabe!E5)</f>
        <v>Gemini 4</v>
      </c>
      <c r="X60" s="180"/>
      <c r="Y60" s="180"/>
      <c r="Z60" s="180"/>
      <c r="AA60" s="180"/>
      <c r="AB60" s="180"/>
      <c r="AC60" s="180"/>
      <c r="AD60" s="180"/>
      <c r="AE60" s="180"/>
      <c r="AF60" s="180"/>
      <c r="AG60" s="180"/>
      <c r="AH60" s="180"/>
      <c r="AI60" s="180"/>
      <c r="AJ60" s="180"/>
      <c r="AK60" s="180"/>
      <c r="AL60" s="180"/>
      <c r="AM60" s="180"/>
      <c r="AN60" s="180"/>
      <c r="AO60" s="180"/>
      <c r="AP60" s="180"/>
      <c r="AQ60" s="180"/>
      <c r="AR60" s="181"/>
      <c r="AS60" s="219" t="str">
        <f>IF(Eingabe!L3="","",Eingabe!L3)</f>
        <v>4.4</v>
      </c>
      <c r="AT60" s="193"/>
      <c r="AU60" s="193"/>
      <c r="AV60" s="193"/>
      <c r="AW60" s="193"/>
      <c r="AX60" s="193"/>
      <c r="AY60" s="194"/>
      <c r="AZ60" s="219" t="str">
        <f>IF(Eingabe!L4="","",Eingabe!L4)</f>
        <v>002</v>
      </c>
      <c r="BA60" s="193"/>
      <c r="BB60" s="193"/>
      <c r="BC60" s="193"/>
      <c r="BD60" s="194"/>
      <c r="BE60" s="139" t="str">
        <f>IF(Eingabe!L5="","",Eingabe!L5)</f>
        <v>Fertigung</v>
      </c>
      <c r="BF60" s="140"/>
      <c r="BG60" s="140"/>
      <c r="BH60" s="140"/>
      <c r="BI60" s="140"/>
      <c r="BJ60" s="140"/>
      <c r="BK60" s="140"/>
      <c r="BL60" s="140"/>
      <c r="BM60" s="140"/>
      <c r="BN60" s="141"/>
    </row>
    <row r="61" spans="1:256" ht="10.5" customHeight="1" thickBot="1" x14ac:dyDescent="0.25">
      <c r="A61" s="164" t="s">
        <v>14</v>
      </c>
      <c r="B61" s="165"/>
      <c r="C61" s="165"/>
      <c r="D61" s="165"/>
      <c r="E61" s="165"/>
      <c r="F61" s="165"/>
      <c r="G61" s="165"/>
      <c r="H61" s="165"/>
      <c r="I61" s="165"/>
      <c r="J61" s="165"/>
      <c r="K61" s="165"/>
      <c r="L61" s="165"/>
      <c r="M61" s="165"/>
      <c r="N61" s="165"/>
      <c r="O61" s="165"/>
      <c r="P61" s="165"/>
      <c r="Q61" s="165"/>
      <c r="R61" s="165"/>
      <c r="S61" s="165"/>
      <c r="T61" s="165"/>
      <c r="U61" s="165"/>
      <c r="V61" s="166"/>
      <c r="W61" s="179"/>
      <c r="X61" s="180"/>
      <c r="Y61" s="180"/>
      <c r="Z61" s="180"/>
      <c r="AA61" s="180"/>
      <c r="AB61" s="180"/>
      <c r="AC61" s="180"/>
      <c r="AD61" s="180"/>
      <c r="AE61" s="180"/>
      <c r="AF61" s="180"/>
      <c r="AG61" s="180"/>
      <c r="AH61" s="180"/>
      <c r="AI61" s="180"/>
      <c r="AJ61" s="180"/>
      <c r="AK61" s="180"/>
      <c r="AL61" s="180"/>
      <c r="AM61" s="180"/>
      <c r="AN61" s="180"/>
      <c r="AO61" s="180"/>
      <c r="AP61" s="180"/>
      <c r="AQ61" s="180"/>
      <c r="AR61" s="181"/>
      <c r="AS61" s="195"/>
      <c r="AT61" s="196"/>
      <c r="AU61" s="196"/>
      <c r="AV61" s="196"/>
      <c r="AW61" s="196"/>
      <c r="AX61" s="196"/>
      <c r="AY61" s="197"/>
      <c r="AZ61" s="195"/>
      <c r="BA61" s="196"/>
      <c r="BB61" s="196"/>
      <c r="BC61" s="196"/>
      <c r="BD61" s="197"/>
      <c r="BE61" s="142"/>
      <c r="BF61" s="143"/>
      <c r="BG61" s="143"/>
      <c r="BH61" s="143"/>
      <c r="BI61" s="143"/>
      <c r="BJ61" s="143"/>
      <c r="BK61" s="143"/>
      <c r="BL61" s="143"/>
      <c r="BM61" s="143"/>
      <c r="BN61" s="144"/>
    </row>
    <row r="62" spans="1:256" ht="10.5" customHeight="1" x14ac:dyDescent="0.2">
      <c r="A62" s="164"/>
      <c r="B62" s="165"/>
      <c r="C62" s="165"/>
      <c r="D62" s="165"/>
      <c r="E62" s="165"/>
      <c r="F62" s="165"/>
      <c r="G62" s="165"/>
      <c r="H62" s="165"/>
      <c r="I62" s="165"/>
      <c r="J62" s="165"/>
      <c r="K62" s="165"/>
      <c r="L62" s="165"/>
      <c r="M62" s="165"/>
      <c r="N62" s="165"/>
      <c r="O62" s="165"/>
      <c r="P62" s="165"/>
      <c r="Q62" s="165"/>
      <c r="R62" s="165"/>
      <c r="S62" s="165"/>
      <c r="T62" s="165"/>
      <c r="U62" s="165"/>
      <c r="V62" s="166"/>
      <c r="W62" s="179"/>
      <c r="X62" s="180"/>
      <c r="Y62" s="180"/>
      <c r="Z62" s="180"/>
      <c r="AA62" s="180"/>
      <c r="AB62" s="180"/>
      <c r="AC62" s="180"/>
      <c r="AD62" s="180"/>
      <c r="AE62" s="180"/>
      <c r="AF62" s="180"/>
      <c r="AG62" s="180"/>
      <c r="AH62" s="180"/>
      <c r="AI62" s="180"/>
      <c r="AJ62" s="180"/>
      <c r="AK62" s="180"/>
      <c r="AL62" s="180"/>
      <c r="AM62" s="180"/>
      <c r="AN62" s="180"/>
      <c r="AO62" s="180"/>
      <c r="AP62" s="180"/>
      <c r="AQ62" s="180"/>
      <c r="AR62" s="181"/>
      <c r="AS62" s="216" t="s">
        <v>15</v>
      </c>
      <c r="AT62" s="217"/>
      <c r="AU62" s="217"/>
      <c r="AV62" s="218"/>
      <c r="AW62" s="201" t="s">
        <v>16</v>
      </c>
      <c r="AX62" s="202"/>
      <c r="AY62" s="203"/>
      <c r="AZ62" s="134" t="s">
        <v>17</v>
      </c>
      <c r="BA62" s="135"/>
      <c r="BB62" s="135"/>
      <c r="BC62" s="135"/>
      <c r="BD62" s="135"/>
      <c r="BE62" s="135"/>
      <c r="BF62" s="135"/>
      <c r="BG62" s="135"/>
      <c r="BH62" s="136"/>
      <c r="BI62" s="201" t="s">
        <v>18</v>
      </c>
      <c r="BJ62" s="202"/>
      <c r="BK62" s="203"/>
      <c r="BL62" s="14" t="s">
        <v>19</v>
      </c>
      <c r="BM62" s="15"/>
      <c r="BN62" s="16"/>
    </row>
    <row r="63" spans="1:256" ht="10.5" customHeight="1" x14ac:dyDescent="0.2">
      <c r="A63" s="158" t="str">
        <f>IF(Eingabe!M6="","",Eingabe!M6)</f>
        <v>Technische Informatik</v>
      </c>
      <c r="B63" s="159"/>
      <c r="C63" s="159"/>
      <c r="D63" s="159"/>
      <c r="E63" s="159"/>
      <c r="F63" s="159"/>
      <c r="G63" s="159"/>
      <c r="H63" s="159"/>
      <c r="I63" s="159"/>
      <c r="J63" s="159"/>
      <c r="K63" s="159"/>
      <c r="L63" s="159"/>
      <c r="M63" s="159"/>
      <c r="N63" s="159"/>
      <c r="O63" s="159"/>
      <c r="P63" s="159"/>
      <c r="Q63" s="159"/>
      <c r="R63" s="159"/>
      <c r="S63" s="159"/>
      <c r="T63" s="159"/>
      <c r="U63" s="159"/>
      <c r="V63" s="160"/>
      <c r="W63" s="139" t="str">
        <f>IF(Eingabe!E6="","",Eingabe!E6)</f>
        <v>Entwicklerboard</v>
      </c>
      <c r="X63" s="140"/>
      <c r="Y63" s="140"/>
      <c r="Z63" s="140"/>
      <c r="AA63" s="140"/>
      <c r="AB63" s="140"/>
      <c r="AC63" s="140"/>
      <c r="AD63" s="140"/>
      <c r="AE63" s="140"/>
      <c r="AF63" s="140"/>
      <c r="AG63" s="140"/>
      <c r="AH63" s="140"/>
      <c r="AI63" s="140"/>
      <c r="AJ63" s="140"/>
      <c r="AK63" s="140"/>
      <c r="AL63" s="140"/>
      <c r="AM63" s="140"/>
      <c r="AN63" s="140"/>
      <c r="AO63" s="140"/>
      <c r="AP63" s="140"/>
      <c r="AQ63" s="140"/>
      <c r="AR63" s="141"/>
      <c r="AS63" s="152" t="str">
        <f>IF(Eingabe!L6="","",Eingabe!L6)</f>
        <v>ohne</v>
      </c>
      <c r="AT63" s="153"/>
      <c r="AU63" s="153"/>
      <c r="AV63" s="154"/>
      <c r="AW63" s="167" t="str">
        <f>IF(Eingabe!I6="","",Eingabe!I6)</f>
        <v>DE</v>
      </c>
      <c r="AX63" s="168"/>
      <c r="AY63" s="169"/>
      <c r="AZ63" s="204">
        <f ca="1">IF(Eingabe!L2="","",Eingabe!L2)</f>
        <v>42272</v>
      </c>
      <c r="BA63" s="205"/>
      <c r="BB63" s="205"/>
      <c r="BC63" s="205"/>
      <c r="BD63" s="205"/>
      <c r="BE63" s="205"/>
      <c r="BF63" s="205"/>
      <c r="BG63" s="205"/>
      <c r="BH63" s="206"/>
      <c r="BI63" s="152">
        <v>1</v>
      </c>
      <c r="BJ63" s="153"/>
      <c r="BK63" s="154"/>
      <c r="BL63" s="152" t="str">
        <f>IF('Materialkalkulation (2)'!L4="","1",IF('Materialkalkulation (3)'!L4="","2","3"))</f>
        <v>1</v>
      </c>
      <c r="BM63" s="153"/>
      <c r="BN63" s="154"/>
    </row>
    <row r="64" spans="1:256" ht="10.5" customHeight="1" thickBot="1" x14ac:dyDescent="0.25">
      <c r="A64" s="161"/>
      <c r="B64" s="162"/>
      <c r="C64" s="162"/>
      <c r="D64" s="162"/>
      <c r="E64" s="162"/>
      <c r="F64" s="162"/>
      <c r="G64" s="162"/>
      <c r="H64" s="162"/>
      <c r="I64" s="162"/>
      <c r="J64" s="162"/>
      <c r="K64" s="162"/>
      <c r="L64" s="162"/>
      <c r="M64" s="162"/>
      <c r="N64" s="162"/>
      <c r="O64" s="162"/>
      <c r="P64" s="162"/>
      <c r="Q64" s="162"/>
      <c r="R64" s="162"/>
      <c r="S64" s="162"/>
      <c r="T64" s="162"/>
      <c r="U64" s="162"/>
      <c r="V64" s="163"/>
      <c r="W64" s="142"/>
      <c r="X64" s="143"/>
      <c r="Y64" s="143"/>
      <c r="Z64" s="143"/>
      <c r="AA64" s="143"/>
      <c r="AB64" s="143"/>
      <c r="AC64" s="143"/>
      <c r="AD64" s="143"/>
      <c r="AE64" s="143"/>
      <c r="AF64" s="143"/>
      <c r="AG64" s="143"/>
      <c r="AH64" s="143"/>
      <c r="AI64" s="143"/>
      <c r="AJ64" s="143"/>
      <c r="AK64" s="143"/>
      <c r="AL64" s="143"/>
      <c r="AM64" s="143"/>
      <c r="AN64" s="143"/>
      <c r="AO64" s="143"/>
      <c r="AP64" s="143"/>
      <c r="AQ64" s="143"/>
      <c r="AR64" s="144"/>
      <c r="AS64" s="155"/>
      <c r="AT64" s="156"/>
      <c r="AU64" s="156"/>
      <c r="AV64" s="157"/>
      <c r="AW64" s="170"/>
      <c r="AX64" s="171"/>
      <c r="AY64" s="172"/>
      <c r="AZ64" s="207"/>
      <c r="BA64" s="208"/>
      <c r="BB64" s="208"/>
      <c r="BC64" s="208"/>
      <c r="BD64" s="208"/>
      <c r="BE64" s="208"/>
      <c r="BF64" s="208"/>
      <c r="BG64" s="208"/>
      <c r="BH64" s="209"/>
      <c r="BI64" s="155"/>
      <c r="BJ64" s="156"/>
      <c r="BK64" s="157"/>
      <c r="BL64" s="155"/>
      <c r="BM64" s="156"/>
      <c r="BN64" s="15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sheet="1" objects="1" scenarios="1" selectLockedCells="1"/>
  <mergeCells count="379">
    <mergeCell ref="BJ26:BN26"/>
    <mergeCell ref="BE12:BI12"/>
    <mergeCell ref="BJ12:BN12"/>
    <mergeCell ref="BE19:BI19"/>
    <mergeCell ref="BE24:BI24"/>
    <mergeCell ref="BE2:BN2"/>
    <mergeCell ref="BJ24:BN24"/>
    <mergeCell ref="BE15:BI15"/>
    <mergeCell ref="BE16:BI16"/>
    <mergeCell ref="BE17:BI17"/>
    <mergeCell ref="BJ16:BN16"/>
    <mergeCell ref="BJ21:BN21"/>
    <mergeCell ref="BE6:BI6"/>
    <mergeCell ref="BE25:BI25"/>
    <mergeCell ref="BJ25:BN25"/>
    <mergeCell ref="BJ8:BN8"/>
    <mergeCell ref="BE9:BI9"/>
    <mergeCell ref="BJ9:BN9"/>
    <mergeCell ref="BE10:BI10"/>
    <mergeCell ref="BE1:BN1"/>
    <mergeCell ref="BJ20:BN20"/>
    <mergeCell ref="BJ13:BN13"/>
    <mergeCell ref="BJ14:BN14"/>
    <mergeCell ref="BJ4:BN4"/>
    <mergeCell ref="BJ15:BN15"/>
    <mergeCell ref="BJ43:BN43"/>
    <mergeCell ref="BJ44:BN44"/>
    <mergeCell ref="BJ45:BN45"/>
    <mergeCell ref="BJ3:BN3"/>
    <mergeCell ref="BE3:BI3"/>
    <mergeCell ref="BJ22:BN22"/>
    <mergeCell ref="BE23:BI23"/>
    <mergeCell ref="BJ23:BN23"/>
    <mergeCell ref="BJ19:BN19"/>
    <mergeCell ref="BE20:BI20"/>
    <mergeCell ref="BJ28:BN28"/>
    <mergeCell ref="BE21:BI21"/>
    <mergeCell ref="BE22:BI22"/>
    <mergeCell ref="BJ5:BN5"/>
    <mergeCell ref="BE4:BI4"/>
    <mergeCell ref="BE5:BI5"/>
    <mergeCell ref="BJ6:BN6"/>
    <mergeCell ref="BE14:BI14"/>
    <mergeCell ref="BE41:BI41"/>
    <mergeCell ref="BE42:BI42"/>
    <mergeCell ref="AH29:BD29"/>
    <mergeCell ref="AH24:BD24"/>
    <mergeCell ref="AH25:BD25"/>
    <mergeCell ref="AH39:BD39"/>
    <mergeCell ref="BE26:BI26"/>
    <mergeCell ref="AH37:BD37"/>
    <mergeCell ref="AH38:BD38"/>
    <mergeCell ref="AH41:BD41"/>
    <mergeCell ref="AH42:BD42"/>
    <mergeCell ref="L5:AG5"/>
    <mergeCell ref="L6:AG6"/>
    <mergeCell ref="L7:AG7"/>
    <mergeCell ref="L8:AG8"/>
    <mergeCell ref="L29:AG29"/>
    <mergeCell ref="BE40:BI40"/>
    <mergeCell ref="BE39:BI39"/>
    <mergeCell ref="BE34:BI34"/>
    <mergeCell ref="BE38:BI38"/>
    <mergeCell ref="AH30:BD30"/>
    <mergeCell ref="AH31:BD31"/>
    <mergeCell ref="AH32:BD32"/>
    <mergeCell ref="AH33:BD33"/>
    <mergeCell ref="L28:AG28"/>
    <mergeCell ref="L40:AG40"/>
    <mergeCell ref="AH36:BD36"/>
    <mergeCell ref="BE37:BI37"/>
    <mergeCell ref="BE30:BI30"/>
    <mergeCell ref="AH40:BD40"/>
    <mergeCell ref="BE7:BI7"/>
    <mergeCell ref="BE13:BI13"/>
    <mergeCell ref="AH1:BD1"/>
    <mergeCell ref="AH2:BD3"/>
    <mergeCell ref="AH4:BD4"/>
    <mergeCell ref="AH5:BD5"/>
    <mergeCell ref="AH6:BD6"/>
    <mergeCell ref="AH7:BD7"/>
    <mergeCell ref="L35:AG35"/>
    <mergeCell ref="L17:AG17"/>
    <mergeCell ref="L18:AG18"/>
    <mergeCell ref="L19:AG19"/>
    <mergeCell ref="L25:AG25"/>
    <mergeCell ref="L26:AG26"/>
    <mergeCell ref="L27:AG27"/>
    <mergeCell ref="L1:AG1"/>
    <mergeCell ref="L2:AG3"/>
    <mergeCell ref="L4:AG4"/>
    <mergeCell ref="L16:AG16"/>
    <mergeCell ref="L12:AG12"/>
    <mergeCell ref="L13:AG13"/>
    <mergeCell ref="L14:AG14"/>
    <mergeCell ref="AH17:BD17"/>
    <mergeCell ref="AH18:BD18"/>
    <mergeCell ref="AH14:BD14"/>
    <mergeCell ref="AH8:BD8"/>
    <mergeCell ref="AH23:BD23"/>
    <mergeCell ref="AH28:BD28"/>
    <mergeCell ref="L36:AG36"/>
    <mergeCell ref="L23:AG23"/>
    <mergeCell ref="L24:AG24"/>
    <mergeCell ref="H44:K44"/>
    <mergeCell ref="AH26:BD26"/>
    <mergeCell ref="AH27:BD27"/>
    <mergeCell ref="L30:AG30"/>
    <mergeCell ref="L31:AG31"/>
    <mergeCell ref="L32:AG32"/>
    <mergeCell ref="L39:AG39"/>
    <mergeCell ref="L41:AG41"/>
    <mergeCell ref="L42:AG42"/>
    <mergeCell ref="L43:AG43"/>
    <mergeCell ref="L44:AG44"/>
    <mergeCell ref="AH44:BD44"/>
    <mergeCell ref="L37:AG37"/>
    <mergeCell ref="L38:AG38"/>
    <mergeCell ref="H32:K32"/>
    <mergeCell ref="L20:AG20"/>
    <mergeCell ref="L22:AG22"/>
    <mergeCell ref="L21:AG21"/>
    <mergeCell ref="L15:AG15"/>
    <mergeCell ref="H48:K48"/>
    <mergeCell ref="H28:K28"/>
    <mergeCell ref="H29:K29"/>
    <mergeCell ref="H30:K30"/>
    <mergeCell ref="H31:K31"/>
    <mergeCell ref="L34:AG34"/>
    <mergeCell ref="L47:AG47"/>
    <mergeCell ref="H1:K1"/>
    <mergeCell ref="H2:K3"/>
    <mergeCell ref="H4:K4"/>
    <mergeCell ref="H5:K5"/>
    <mergeCell ref="H6:K6"/>
    <mergeCell ref="H10:K10"/>
    <mergeCell ref="H11:K11"/>
    <mergeCell ref="H12:K12"/>
    <mergeCell ref="H18:K18"/>
    <mergeCell ref="D7:G7"/>
    <mergeCell ref="D21:G21"/>
    <mergeCell ref="H19:K19"/>
    <mergeCell ref="H13:K13"/>
    <mergeCell ref="H7:K7"/>
    <mergeCell ref="H8:K8"/>
    <mergeCell ref="H9:K9"/>
    <mergeCell ref="H20:K20"/>
    <mergeCell ref="D8:G8"/>
    <mergeCell ref="D18:G18"/>
    <mergeCell ref="D14:G14"/>
    <mergeCell ref="D15:G15"/>
    <mergeCell ref="D9:G9"/>
    <mergeCell ref="D11:G11"/>
    <mergeCell ref="D10:G10"/>
    <mergeCell ref="A1:C1"/>
    <mergeCell ref="A2:C3"/>
    <mergeCell ref="A4:C4"/>
    <mergeCell ref="A5:C5"/>
    <mergeCell ref="A6:C6"/>
    <mergeCell ref="A7:C7"/>
    <mergeCell ref="A8:C8"/>
    <mergeCell ref="A11:C11"/>
    <mergeCell ref="D44:G44"/>
    <mergeCell ref="A36:C36"/>
    <mergeCell ref="A44:C44"/>
    <mergeCell ref="A40:C40"/>
    <mergeCell ref="A41:C41"/>
    <mergeCell ref="D22:G22"/>
    <mergeCell ref="A9:C9"/>
    <mergeCell ref="A10:C10"/>
    <mergeCell ref="D4:G4"/>
    <mergeCell ref="D5:G5"/>
    <mergeCell ref="D6:G6"/>
    <mergeCell ref="D19:G19"/>
    <mergeCell ref="D20:G20"/>
    <mergeCell ref="D1:G1"/>
    <mergeCell ref="D2:G3"/>
    <mergeCell ref="D13:G13"/>
    <mergeCell ref="A27:C27"/>
    <mergeCell ref="A26:C26"/>
    <mergeCell ref="H24:K24"/>
    <mergeCell ref="H23:K23"/>
    <mergeCell ref="D24:G24"/>
    <mergeCell ref="D25:G25"/>
    <mergeCell ref="A25:C25"/>
    <mergeCell ref="A23:C23"/>
    <mergeCell ref="A24:C24"/>
    <mergeCell ref="D23:G23"/>
    <mergeCell ref="D26:G26"/>
    <mergeCell ref="A12:C12"/>
    <mergeCell ref="H22:K22"/>
    <mergeCell ref="H21:K21"/>
    <mergeCell ref="H16:K16"/>
    <mergeCell ref="H17:K17"/>
    <mergeCell ref="D12:G12"/>
    <mergeCell ref="H14:K14"/>
    <mergeCell ref="H15:K15"/>
    <mergeCell ref="D16:G16"/>
    <mergeCell ref="D17:G17"/>
    <mergeCell ref="A13:C13"/>
    <mergeCell ref="A14:C14"/>
    <mergeCell ref="A15:C15"/>
    <mergeCell ref="A16:C16"/>
    <mergeCell ref="A20:C20"/>
    <mergeCell ref="A17:C17"/>
    <mergeCell ref="A18:C18"/>
    <mergeCell ref="A21:C21"/>
    <mergeCell ref="A22:C22"/>
    <mergeCell ref="A19:C19"/>
    <mergeCell ref="BJ17:BN17"/>
    <mergeCell ref="BJ18:BN18"/>
    <mergeCell ref="H36:K36"/>
    <mergeCell ref="AH21:BD21"/>
    <mergeCell ref="BE27:BI27"/>
    <mergeCell ref="BJ27:BN27"/>
    <mergeCell ref="AH12:BD12"/>
    <mergeCell ref="AH13:BD13"/>
    <mergeCell ref="H25:K25"/>
    <mergeCell ref="H33:K33"/>
    <mergeCell ref="H34:K34"/>
    <mergeCell ref="H35:K35"/>
    <mergeCell ref="AH15:BD15"/>
    <mergeCell ref="AH16:BD16"/>
    <mergeCell ref="AH19:BD19"/>
    <mergeCell ref="AH20:BD20"/>
    <mergeCell ref="BE28:BI28"/>
    <mergeCell ref="BE32:BI32"/>
    <mergeCell ref="BE33:BI33"/>
    <mergeCell ref="BE18:BI18"/>
    <mergeCell ref="BE31:BI31"/>
    <mergeCell ref="BE36:BI36"/>
    <mergeCell ref="BE29:BI29"/>
    <mergeCell ref="AH22:BD22"/>
    <mergeCell ref="AO57:AR58"/>
    <mergeCell ref="AS57:BH58"/>
    <mergeCell ref="AG56:AJ56"/>
    <mergeCell ref="AK56:AN56"/>
    <mergeCell ref="AO56:AR56"/>
    <mergeCell ref="AS56:BH56"/>
    <mergeCell ref="AG57:AJ58"/>
    <mergeCell ref="L45:AG45"/>
    <mergeCell ref="L46:AG46"/>
    <mergeCell ref="L48:AG48"/>
    <mergeCell ref="W57:AF58"/>
    <mergeCell ref="W53:AR53"/>
    <mergeCell ref="A54:V55"/>
    <mergeCell ref="W54:AR55"/>
    <mergeCell ref="BB53:BN53"/>
    <mergeCell ref="BB54:BN55"/>
    <mergeCell ref="AS53:BA53"/>
    <mergeCell ref="AS54:BA55"/>
    <mergeCell ref="BE50:BN50"/>
    <mergeCell ref="BE51:BN51"/>
    <mergeCell ref="BE52:BN52"/>
    <mergeCell ref="AH45:BD45"/>
    <mergeCell ref="AH49:BD49"/>
    <mergeCell ref="H45:K45"/>
    <mergeCell ref="BL63:BN64"/>
    <mergeCell ref="BI63:BK64"/>
    <mergeCell ref="BJ29:BN29"/>
    <mergeCell ref="BJ36:BN36"/>
    <mergeCell ref="BJ33:BN33"/>
    <mergeCell ref="BJ34:BN34"/>
    <mergeCell ref="AH50:BD50"/>
    <mergeCell ref="AH51:BD51"/>
    <mergeCell ref="H26:K26"/>
    <mergeCell ref="H27:K27"/>
    <mergeCell ref="H41:K41"/>
    <mergeCell ref="BI57:BN58"/>
    <mergeCell ref="BJ30:BN30"/>
    <mergeCell ref="BJ31:BN31"/>
    <mergeCell ref="BJ32:BN32"/>
    <mergeCell ref="AK57:AN58"/>
    <mergeCell ref="BI62:BK62"/>
    <mergeCell ref="L33:AG33"/>
    <mergeCell ref="AZ59:BD59"/>
    <mergeCell ref="AZ60:BD61"/>
    <mergeCell ref="BE59:BN59"/>
    <mergeCell ref="BE60:BN61"/>
    <mergeCell ref="A53:V53"/>
    <mergeCell ref="AH46:BD46"/>
    <mergeCell ref="D27:G27"/>
    <mergeCell ref="BJ39:BN39"/>
    <mergeCell ref="BE49:BN49"/>
    <mergeCell ref="BJ40:BN40"/>
    <mergeCell ref="BJ41:BN41"/>
    <mergeCell ref="BJ42:BN42"/>
    <mergeCell ref="BJ48:BN48"/>
    <mergeCell ref="BJ46:BN46"/>
    <mergeCell ref="AH34:BD34"/>
    <mergeCell ref="D31:G31"/>
    <mergeCell ref="D32:G32"/>
    <mergeCell ref="AH43:BD43"/>
    <mergeCell ref="D46:G46"/>
    <mergeCell ref="D47:G47"/>
    <mergeCell ref="AH35:BD35"/>
    <mergeCell ref="D40:G40"/>
    <mergeCell ref="BJ38:BN38"/>
    <mergeCell ref="BJ35:BN35"/>
    <mergeCell ref="H47:K47"/>
    <mergeCell ref="BJ37:BN37"/>
    <mergeCell ref="D36:G36"/>
    <mergeCell ref="D39:G39"/>
    <mergeCell ref="D37:G37"/>
    <mergeCell ref="D38:G38"/>
    <mergeCell ref="W56:AF56"/>
    <mergeCell ref="A49:AG52"/>
    <mergeCell ref="AH52:BD52"/>
    <mergeCell ref="BE43:BI43"/>
    <mergeCell ref="BE44:BI44"/>
    <mergeCell ref="BE45:BI45"/>
    <mergeCell ref="BE48:BI48"/>
    <mergeCell ref="D43:G43"/>
    <mergeCell ref="D48:G48"/>
    <mergeCell ref="BI56:BN56"/>
    <mergeCell ref="D45:G45"/>
    <mergeCell ref="A46:C46"/>
    <mergeCell ref="A47:C47"/>
    <mergeCell ref="A48:C48"/>
    <mergeCell ref="A45:C45"/>
    <mergeCell ref="BJ47:BN47"/>
    <mergeCell ref="H46:K46"/>
    <mergeCell ref="BE47:BI47"/>
    <mergeCell ref="BE46:BI46"/>
    <mergeCell ref="AH47:BD47"/>
    <mergeCell ref="AH48:BD48"/>
    <mergeCell ref="A33:C33"/>
    <mergeCell ref="A34:C34"/>
    <mergeCell ref="A35:C35"/>
    <mergeCell ref="A28:C28"/>
    <mergeCell ref="D41:G41"/>
    <mergeCell ref="D42:G42"/>
    <mergeCell ref="D29:G29"/>
    <mergeCell ref="D30:G30"/>
    <mergeCell ref="A29:C29"/>
    <mergeCell ref="A30:C30"/>
    <mergeCell ref="A31:C31"/>
    <mergeCell ref="D35:G35"/>
    <mergeCell ref="D28:G28"/>
    <mergeCell ref="A32:C32"/>
    <mergeCell ref="D34:G34"/>
    <mergeCell ref="A39:C39"/>
    <mergeCell ref="A37:C37"/>
    <mergeCell ref="A38:C38"/>
    <mergeCell ref="A63:V64"/>
    <mergeCell ref="W63:AR64"/>
    <mergeCell ref="AS62:AV62"/>
    <mergeCell ref="AS63:AV64"/>
    <mergeCell ref="D33:G33"/>
    <mergeCell ref="H42:K42"/>
    <mergeCell ref="H43:K43"/>
    <mergeCell ref="AW63:AY64"/>
    <mergeCell ref="AZ63:BH64"/>
    <mergeCell ref="W59:AR59"/>
    <mergeCell ref="AS59:AY59"/>
    <mergeCell ref="A61:V62"/>
    <mergeCell ref="AW62:AY62"/>
    <mergeCell ref="AZ62:BH62"/>
    <mergeCell ref="W60:AR62"/>
    <mergeCell ref="AS60:AY61"/>
    <mergeCell ref="A56:V60"/>
    <mergeCell ref="H38:K38"/>
    <mergeCell ref="H39:K39"/>
    <mergeCell ref="H40:K40"/>
    <mergeCell ref="H37:K37"/>
    <mergeCell ref="BE35:BI35"/>
    <mergeCell ref="A42:C42"/>
    <mergeCell ref="A43:C43"/>
    <mergeCell ref="BJ7:BN7"/>
    <mergeCell ref="L10:AG10"/>
    <mergeCell ref="L11:AG11"/>
    <mergeCell ref="L9:AG9"/>
    <mergeCell ref="AH9:BD9"/>
    <mergeCell ref="AH10:BD10"/>
    <mergeCell ref="AH11:BD11"/>
    <mergeCell ref="BE8:BI8"/>
    <mergeCell ref="BJ10:BN10"/>
    <mergeCell ref="BE11:BI11"/>
    <mergeCell ref="BJ11:BN11"/>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78"/>
  <sheetViews>
    <sheetView view="pageBreakPreview" zoomScale="89" zoomScaleNormal="85" zoomScaleSheetLayoutView="89" workbookViewId="0">
      <selection activeCell="A4" sqref="A4:G4"/>
    </sheetView>
  </sheetViews>
  <sheetFormatPr baseColWidth="10" defaultColWidth="10.625" defaultRowHeight="14.25" x14ac:dyDescent="0.2"/>
  <cols>
    <col min="1" max="66" width="1.25" style="2" customWidth="1"/>
    <col min="67" max="67" width="46" style="2" customWidth="1"/>
    <col min="68" max="16384" width="10.625" style="2"/>
  </cols>
  <sheetData>
    <row r="1" spans="1:256" s="13" customFormat="1" ht="12.75" customHeight="1" x14ac:dyDescent="0.2">
      <c r="A1" s="284">
        <v>1</v>
      </c>
      <c r="B1" s="285"/>
      <c r="C1" s="285"/>
      <c r="D1" s="285">
        <v>2</v>
      </c>
      <c r="E1" s="285"/>
      <c r="F1" s="285"/>
      <c r="G1" s="285"/>
      <c r="H1" s="285">
        <v>3</v>
      </c>
      <c r="I1" s="285"/>
      <c r="J1" s="285"/>
      <c r="K1" s="285"/>
      <c r="L1" s="285">
        <v>4</v>
      </c>
      <c r="M1" s="285"/>
      <c r="N1" s="285"/>
      <c r="O1" s="285"/>
      <c r="P1" s="285"/>
      <c r="Q1" s="285"/>
      <c r="R1" s="285"/>
      <c r="S1" s="285"/>
      <c r="T1" s="285"/>
      <c r="U1" s="285"/>
      <c r="V1" s="285"/>
      <c r="W1" s="285"/>
      <c r="X1" s="285"/>
      <c r="Y1" s="285"/>
      <c r="Z1" s="285"/>
      <c r="AA1" s="285"/>
      <c r="AB1" s="285"/>
      <c r="AC1" s="285"/>
      <c r="AD1" s="285"/>
      <c r="AE1" s="285"/>
      <c r="AF1" s="285"/>
      <c r="AG1" s="285"/>
      <c r="AH1" s="285">
        <v>5</v>
      </c>
      <c r="AI1" s="285"/>
      <c r="AJ1" s="285"/>
      <c r="AK1" s="285"/>
      <c r="AL1" s="285"/>
      <c r="AM1" s="285"/>
      <c r="AN1" s="285"/>
      <c r="AO1" s="285"/>
      <c r="AP1" s="285"/>
      <c r="AQ1" s="285"/>
      <c r="AR1" s="285"/>
      <c r="AS1" s="285"/>
      <c r="AT1" s="285"/>
      <c r="AU1" s="285"/>
      <c r="AV1" s="285"/>
      <c r="AW1" s="285"/>
      <c r="AX1" s="285"/>
      <c r="AY1" s="285"/>
      <c r="AZ1" s="285"/>
      <c r="BA1" s="285"/>
      <c r="BB1" s="285"/>
      <c r="BC1" s="285"/>
      <c r="BD1" s="285"/>
      <c r="BE1" s="285">
        <v>6</v>
      </c>
      <c r="BF1" s="285"/>
      <c r="BG1" s="285"/>
      <c r="BH1" s="285"/>
      <c r="BI1" s="285"/>
      <c r="BJ1" s="285"/>
      <c r="BK1" s="285"/>
      <c r="BL1" s="285"/>
      <c r="BM1" s="285"/>
      <c r="BN1" s="290"/>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86" t="str">
        <f>Eingabe!A7</f>
        <v>Lfd. 
Nr.</v>
      </c>
      <c r="B2" s="235"/>
      <c r="C2" s="235"/>
      <c r="D2" s="235" t="str">
        <f>Eingabe!B7</f>
        <v>Stück-
zahl</v>
      </c>
      <c r="E2" s="235"/>
      <c r="F2" s="235"/>
      <c r="G2" s="235"/>
      <c r="H2" s="235" t="str">
        <f>Eingabe!C7</f>
        <v>Ein-
heit</v>
      </c>
      <c r="I2" s="235"/>
      <c r="J2" s="235"/>
      <c r="K2" s="235"/>
      <c r="L2" s="287" t="str">
        <f>Eingabe!D7</f>
        <v>Benennung</v>
      </c>
      <c r="M2" s="287"/>
      <c r="N2" s="287"/>
      <c r="O2" s="287"/>
      <c r="P2" s="287"/>
      <c r="Q2" s="287"/>
      <c r="R2" s="287"/>
      <c r="S2" s="287"/>
      <c r="T2" s="287"/>
      <c r="U2" s="287"/>
      <c r="V2" s="287"/>
      <c r="W2" s="287"/>
      <c r="X2" s="287"/>
      <c r="Y2" s="287"/>
      <c r="Z2" s="287"/>
      <c r="AA2" s="287"/>
      <c r="AB2" s="287"/>
      <c r="AC2" s="287"/>
      <c r="AD2" s="287"/>
      <c r="AE2" s="287"/>
      <c r="AF2" s="287"/>
      <c r="AG2" s="287"/>
      <c r="AH2" s="287" t="str">
        <f>Eingabe!F7&amp;" / "&amp;Eingabe!G7</f>
        <v>Lieferant / Bestellnummer</v>
      </c>
      <c r="AI2" s="287"/>
      <c r="AJ2" s="287"/>
      <c r="AK2" s="287"/>
      <c r="AL2" s="287"/>
      <c r="AM2" s="287"/>
      <c r="AN2" s="287"/>
      <c r="AO2" s="287"/>
      <c r="AP2" s="287"/>
      <c r="AQ2" s="287"/>
      <c r="AR2" s="287"/>
      <c r="AS2" s="287"/>
      <c r="AT2" s="287"/>
      <c r="AU2" s="287"/>
      <c r="AV2" s="287"/>
      <c r="AW2" s="287"/>
      <c r="AX2" s="287"/>
      <c r="AY2" s="287"/>
      <c r="AZ2" s="287"/>
      <c r="BA2" s="287"/>
      <c r="BB2" s="287"/>
      <c r="BC2" s="287"/>
      <c r="BD2" s="287"/>
      <c r="BE2" s="287" t="s">
        <v>29</v>
      </c>
      <c r="BF2" s="287"/>
      <c r="BG2" s="287"/>
      <c r="BH2" s="287"/>
      <c r="BI2" s="287"/>
      <c r="BJ2" s="287"/>
      <c r="BK2" s="287"/>
      <c r="BL2" s="287"/>
      <c r="BM2" s="287"/>
      <c r="BN2" s="294"/>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31"/>
      <c r="B3" s="229"/>
      <c r="C3" s="229"/>
      <c r="D3" s="229"/>
      <c r="E3" s="229"/>
      <c r="F3" s="229"/>
      <c r="G3" s="229"/>
      <c r="H3" s="229"/>
      <c r="I3" s="229"/>
      <c r="J3" s="229"/>
      <c r="K3" s="229"/>
      <c r="L3" s="288"/>
      <c r="M3" s="288"/>
      <c r="N3" s="288"/>
      <c r="O3" s="288"/>
      <c r="P3" s="288"/>
      <c r="Q3" s="288"/>
      <c r="R3" s="288"/>
      <c r="S3" s="288"/>
      <c r="T3" s="288"/>
      <c r="U3" s="288"/>
      <c r="V3" s="288"/>
      <c r="W3" s="288"/>
      <c r="X3" s="288"/>
      <c r="Y3" s="288"/>
      <c r="Z3" s="288"/>
      <c r="AA3" s="288"/>
      <c r="AB3" s="288"/>
      <c r="AC3" s="288"/>
      <c r="AD3" s="288"/>
      <c r="AE3" s="288"/>
      <c r="AF3" s="288"/>
      <c r="AG3" s="288"/>
      <c r="AH3" s="288"/>
      <c r="AI3" s="288"/>
      <c r="AJ3" s="288"/>
      <c r="AK3" s="288"/>
      <c r="AL3" s="288"/>
      <c r="AM3" s="288"/>
      <c r="AN3" s="288"/>
      <c r="AO3" s="288"/>
      <c r="AP3" s="288"/>
      <c r="AQ3" s="288"/>
      <c r="AR3" s="288"/>
      <c r="AS3" s="288"/>
      <c r="AT3" s="288"/>
      <c r="AU3" s="288"/>
      <c r="AV3" s="288"/>
      <c r="AW3" s="288"/>
      <c r="AX3" s="288"/>
      <c r="AY3" s="288"/>
      <c r="AZ3" s="288"/>
      <c r="BA3" s="288"/>
      <c r="BB3" s="288"/>
      <c r="BC3" s="288"/>
      <c r="BD3" s="288"/>
      <c r="BE3" s="288" t="s">
        <v>30</v>
      </c>
      <c r="BF3" s="288"/>
      <c r="BG3" s="288"/>
      <c r="BH3" s="288"/>
      <c r="BI3" s="288"/>
      <c r="BJ3" s="288" t="s">
        <v>31</v>
      </c>
      <c r="BK3" s="288"/>
      <c r="BL3" s="288"/>
      <c r="BM3" s="288"/>
      <c r="BN3" s="293"/>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26" t="str">
        <f>IF(Eingabe!A53="","",Eingabe!A53)</f>
        <v/>
      </c>
      <c r="B4" s="227"/>
      <c r="C4" s="227"/>
      <c r="D4" s="227" t="str">
        <f>IF(Eingabe!B53="","",Eingabe!B53)</f>
        <v/>
      </c>
      <c r="E4" s="227"/>
      <c r="F4" s="227"/>
      <c r="G4" s="227"/>
      <c r="H4" s="223" t="str">
        <f>IF(Eingabe!C53="","",Eingabe!C53)</f>
        <v/>
      </c>
      <c r="I4" s="223"/>
      <c r="J4" s="223"/>
      <c r="K4" s="223"/>
      <c r="L4" s="245" t="str">
        <f>IF(Eingabe!D53="","",Eingabe!D53)</f>
        <v/>
      </c>
      <c r="M4" s="245"/>
      <c r="N4" s="245"/>
      <c r="O4" s="245"/>
      <c r="P4" s="245"/>
      <c r="Q4" s="245"/>
      <c r="R4" s="245"/>
      <c r="S4" s="245"/>
      <c r="T4" s="245"/>
      <c r="U4" s="245"/>
      <c r="V4" s="245"/>
      <c r="W4" s="245"/>
      <c r="X4" s="245"/>
      <c r="Y4" s="245"/>
      <c r="Z4" s="245"/>
      <c r="AA4" s="245"/>
      <c r="AB4" s="245"/>
      <c r="AC4" s="245"/>
      <c r="AD4" s="245"/>
      <c r="AE4" s="245"/>
      <c r="AF4" s="245"/>
      <c r="AG4" s="245"/>
      <c r="AH4" s="289" t="str">
        <f>IF(Eingabe!F53&amp;Eingabe!G53="","",Eingabe!F53&amp;"  /  "&amp;Eingabe!G53)</f>
        <v/>
      </c>
      <c r="AI4" s="289"/>
      <c r="AJ4" s="289"/>
      <c r="AK4" s="289"/>
      <c r="AL4" s="289"/>
      <c r="AM4" s="289"/>
      <c r="AN4" s="289"/>
      <c r="AO4" s="289"/>
      <c r="AP4" s="289"/>
      <c r="AQ4" s="289"/>
      <c r="AR4" s="289"/>
      <c r="AS4" s="289"/>
      <c r="AT4" s="289"/>
      <c r="AU4" s="289"/>
      <c r="AV4" s="289"/>
      <c r="AW4" s="289"/>
      <c r="AX4" s="289"/>
      <c r="AY4" s="289"/>
      <c r="AZ4" s="289"/>
      <c r="BA4" s="289"/>
      <c r="BB4" s="289"/>
      <c r="BC4" s="289"/>
      <c r="BD4" s="289"/>
      <c r="BE4" s="291" t="str">
        <f>IF(Eingabe!I53="","",Eingabe!I53)</f>
        <v/>
      </c>
      <c r="BF4" s="291"/>
      <c r="BG4" s="291"/>
      <c r="BH4" s="291"/>
      <c r="BI4" s="291"/>
      <c r="BJ4" s="291" t="str">
        <f>IF(Eingabe!I53="","",Eingabe!I53*Eingabe!B53)</f>
        <v/>
      </c>
      <c r="BK4" s="291"/>
      <c r="BL4" s="291"/>
      <c r="BM4" s="291"/>
      <c r="BN4" s="292"/>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22" t="str">
        <f>IF(Eingabe!A54="","",Eingabe!A54)</f>
        <v/>
      </c>
      <c r="B5" s="145"/>
      <c r="C5" s="145"/>
      <c r="D5" s="145" t="str">
        <f>IF(Eingabe!B54="","",Eingabe!B54)</f>
        <v/>
      </c>
      <c r="E5" s="145"/>
      <c r="F5" s="145"/>
      <c r="G5" s="145"/>
      <c r="H5" s="137" t="str">
        <f>IF(Eingabe!C54="","",Eingabe!C54)</f>
        <v/>
      </c>
      <c r="I5" s="137"/>
      <c r="J5" s="137"/>
      <c r="K5" s="137"/>
      <c r="L5" s="232" t="str">
        <f>IF(Eingabe!D54="","",Eingabe!D54)</f>
        <v/>
      </c>
      <c r="M5" s="232"/>
      <c r="N5" s="232"/>
      <c r="O5" s="232"/>
      <c r="P5" s="232"/>
      <c r="Q5" s="232"/>
      <c r="R5" s="232"/>
      <c r="S5" s="232"/>
      <c r="T5" s="232"/>
      <c r="U5" s="232"/>
      <c r="V5" s="232"/>
      <c r="W5" s="232"/>
      <c r="X5" s="232"/>
      <c r="Y5" s="232"/>
      <c r="Z5" s="232"/>
      <c r="AA5" s="232"/>
      <c r="AB5" s="232"/>
      <c r="AC5" s="232"/>
      <c r="AD5" s="232"/>
      <c r="AE5" s="232"/>
      <c r="AF5" s="232"/>
      <c r="AG5" s="232"/>
      <c r="AH5" s="251" t="str">
        <f>IF(Eingabe!F54&amp;Eingabe!G54="","",Eingabe!F54&amp;"  /  "&amp;Eingabe!G54)</f>
        <v/>
      </c>
      <c r="AI5" s="251"/>
      <c r="AJ5" s="251"/>
      <c r="AK5" s="251"/>
      <c r="AL5" s="251"/>
      <c r="AM5" s="251"/>
      <c r="AN5" s="251"/>
      <c r="AO5" s="251"/>
      <c r="AP5" s="251"/>
      <c r="AQ5" s="251"/>
      <c r="AR5" s="251"/>
      <c r="AS5" s="251"/>
      <c r="AT5" s="251"/>
      <c r="AU5" s="251"/>
      <c r="AV5" s="251"/>
      <c r="AW5" s="251"/>
      <c r="AX5" s="251"/>
      <c r="AY5" s="251"/>
      <c r="AZ5" s="251"/>
      <c r="BA5" s="251"/>
      <c r="BB5" s="251"/>
      <c r="BC5" s="251"/>
      <c r="BD5" s="251"/>
      <c r="BE5" s="246" t="str">
        <f>IF(Eingabe!I54="","",Eingabe!I54)</f>
        <v/>
      </c>
      <c r="BF5" s="246"/>
      <c r="BG5" s="246"/>
      <c r="BH5" s="246"/>
      <c r="BI5" s="246"/>
      <c r="BJ5" s="246" t="str">
        <f>IF(Eingabe!I54="","",Eingabe!I54*Eingabe!B54)</f>
        <v/>
      </c>
      <c r="BK5" s="246"/>
      <c r="BL5" s="246"/>
      <c r="BM5" s="246"/>
      <c r="BN5" s="247"/>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22" t="str">
        <f>IF(Eingabe!A55="","",Eingabe!A55)</f>
        <v/>
      </c>
      <c r="B6" s="145"/>
      <c r="C6" s="145"/>
      <c r="D6" s="145" t="str">
        <f>IF(Eingabe!B55="","",Eingabe!B55)</f>
        <v/>
      </c>
      <c r="E6" s="145"/>
      <c r="F6" s="145"/>
      <c r="G6" s="145"/>
      <c r="H6" s="137" t="str">
        <f>IF(Eingabe!C55="","",Eingabe!C55)</f>
        <v/>
      </c>
      <c r="I6" s="137"/>
      <c r="J6" s="137"/>
      <c r="K6" s="137"/>
      <c r="L6" s="232" t="str">
        <f>IF(Eingabe!D55="","",Eingabe!D55)</f>
        <v/>
      </c>
      <c r="M6" s="232"/>
      <c r="N6" s="232"/>
      <c r="O6" s="232"/>
      <c r="P6" s="232"/>
      <c r="Q6" s="232"/>
      <c r="R6" s="232"/>
      <c r="S6" s="232"/>
      <c r="T6" s="232"/>
      <c r="U6" s="232"/>
      <c r="V6" s="232"/>
      <c r="W6" s="232"/>
      <c r="X6" s="232"/>
      <c r="Y6" s="232"/>
      <c r="Z6" s="232"/>
      <c r="AA6" s="232"/>
      <c r="AB6" s="232"/>
      <c r="AC6" s="232"/>
      <c r="AD6" s="232"/>
      <c r="AE6" s="232"/>
      <c r="AF6" s="232"/>
      <c r="AG6" s="232"/>
      <c r="AH6" s="251" t="str">
        <f>IF(Eingabe!F55&amp;Eingabe!G55="","",Eingabe!F55&amp;"  /  "&amp;Eingabe!G55)</f>
        <v/>
      </c>
      <c r="AI6" s="251"/>
      <c r="AJ6" s="251"/>
      <c r="AK6" s="251"/>
      <c r="AL6" s="251"/>
      <c r="AM6" s="251"/>
      <c r="AN6" s="251"/>
      <c r="AO6" s="251"/>
      <c r="AP6" s="251"/>
      <c r="AQ6" s="251"/>
      <c r="AR6" s="251"/>
      <c r="AS6" s="251"/>
      <c r="AT6" s="251"/>
      <c r="AU6" s="251"/>
      <c r="AV6" s="251"/>
      <c r="AW6" s="251"/>
      <c r="AX6" s="251"/>
      <c r="AY6" s="251"/>
      <c r="AZ6" s="251"/>
      <c r="BA6" s="251"/>
      <c r="BB6" s="251"/>
      <c r="BC6" s="251"/>
      <c r="BD6" s="251"/>
      <c r="BE6" s="246" t="str">
        <f>IF(Eingabe!I55="","",Eingabe!I55)</f>
        <v/>
      </c>
      <c r="BF6" s="246"/>
      <c r="BG6" s="246"/>
      <c r="BH6" s="246"/>
      <c r="BI6" s="246"/>
      <c r="BJ6" s="246" t="str">
        <f>IF(Eingabe!I55="","",Eingabe!I55*Eingabe!B55)</f>
        <v/>
      </c>
      <c r="BK6" s="246"/>
      <c r="BL6" s="246"/>
      <c r="BM6" s="246"/>
      <c r="BN6" s="247"/>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22" t="str">
        <f>IF(Eingabe!A56="","",Eingabe!A56)</f>
        <v/>
      </c>
      <c r="B7" s="145"/>
      <c r="C7" s="145"/>
      <c r="D7" s="145" t="str">
        <f>IF(Eingabe!B56="","",Eingabe!B56)</f>
        <v/>
      </c>
      <c r="E7" s="145"/>
      <c r="F7" s="145"/>
      <c r="G7" s="145"/>
      <c r="H7" s="137" t="str">
        <f>IF(Eingabe!C56="","",Eingabe!C56)</f>
        <v/>
      </c>
      <c r="I7" s="137"/>
      <c r="J7" s="137"/>
      <c r="K7" s="137"/>
      <c r="L7" s="232" t="str">
        <f>IF(Eingabe!D56="","",Eingabe!D56)</f>
        <v/>
      </c>
      <c r="M7" s="232"/>
      <c r="N7" s="232"/>
      <c r="O7" s="232"/>
      <c r="P7" s="232"/>
      <c r="Q7" s="232"/>
      <c r="R7" s="232"/>
      <c r="S7" s="232"/>
      <c r="T7" s="232"/>
      <c r="U7" s="232"/>
      <c r="V7" s="232"/>
      <c r="W7" s="232"/>
      <c r="X7" s="232"/>
      <c r="Y7" s="232"/>
      <c r="Z7" s="232"/>
      <c r="AA7" s="232"/>
      <c r="AB7" s="232"/>
      <c r="AC7" s="232"/>
      <c r="AD7" s="232"/>
      <c r="AE7" s="232"/>
      <c r="AF7" s="232"/>
      <c r="AG7" s="232"/>
      <c r="AH7" s="251" t="str">
        <f>IF(Eingabe!F56&amp;Eingabe!G56="","",Eingabe!F56&amp;"  /  "&amp;Eingabe!G56)</f>
        <v/>
      </c>
      <c r="AI7" s="251"/>
      <c r="AJ7" s="251"/>
      <c r="AK7" s="251"/>
      <c r="AL7" s="251"/>
      <c r="AM7" s="251"/>
      <c r="AN7" s="251"/>
      <c r="AO7" s="251"/>
      <c r="AP7" s="251"/>
      <c r="AQ7" s="251"/>
      <c r="AR7" s="251"/>
      <c r="AS7" s="251"/>
      <c r="AT7" s="251"/>
      <c r="AU7" s="251"/>
      <c r="AV7" s="251"/>
      <c r="AW7" s="251"/>
      <c r="AX7" s="251"/>
      <c r="AY7" s="251"/>
      <c r="AZ7" s="251"/>
      <c r="BA7" s="251"/>
      <c r="BB7" s="251"/>
      <c r="BC7" s="251"/>
      <c r="BD7" s="251"/>
      <c r="BE7" s="246" t="str">
        <f>IF(Eingabe!I56="","",Eingabe!I56)</f>
        <v/>
      </c>
      <c r="BF7" s="246"/>
      <c r="BG7" s="246"/>
      <c r="BH7" s="246"/>
      <c r="BI7" s="246"/>
      <c r="BJ7" s="246" t="str">
        <f>IF(Eingabe!I56="","",Eingabe!I56*Eingabe!B56)</f>
        <v/>
      </c>
      <c r="BK7" s="246"/>
      <c r="BL7" s="246"/>
      <c r="BM7" s="246"/>
      <c r="BN7" s="247"/>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22" t="str">
        <f>IF(Eingabe!A57="","",Eingabe!A57)</f>
        <v/>
      </c>
      <c r="B8" s="145"/>
      <c r="C8" s="145"/>
      <c r="D8" s="145" t="str">
        <f>IF(Eingabe!B57="","",Eingabe!B57)</f>
        <v/>
      </c>
      <c r="E8" s="145"/>
      <c r="F8" s="145"/>
      <c r="G8" s="145"/>
      <c r="H8" s="137" t="str">
        <f>IF(Eingabe!C57="","",Eingabe!C57)</f>
        <v/>
      </c>
      <c r="I8" s="137"/>
      <c r="J8" s="137"/>
      <c r="K8" s="137"/>
      <c r="L8" s="232" t="str">
        <f>IF(Eingabe!D57="","",Eingabe!D57)</f>
        <v/>
      </c>
      <c r="M8" s="232"/>
      <c r="N8" s="232"/>
      <c r="O8" s="232"/>
      <c r="P8" s="232"/>
      <c r="Q8" s="232"/>
      <c r="R8" s="232"/>
      <c r="S8" s="232"/>
      <c r="T8" s="232"/>
      <c r="U8" s="232"/>
      <c r="V8" s="232"/>
      <c r="W8" s="232"/>
      <c r="X8" s="232"/>
      <c r="Y8" s="232"/>
      <c r="Z8" s="232"/>
      <c r="AA8" s="232"/>
      <c r="AB8" s="232"/>
      <c r="AC8" s="232"/>
      <c r="AD8" s="232"/>
      <c r="AE8" s="232"/>
      <c r="AF8" s="232"/>
      <c r="AG8" s="232"/>
      <c r="AH8" s="251" t="str">
        <f>IF(Eingabe!F57&amp;Eingabe!G57="","",Eingabe!F57&amp;"  /  "&amp;Eingabe!G57)</f>
        <v/>
      </c>
      <c r="AI8" s="251"/>
      <c r="AJ8" s="251"/>
      <c r="AK8" s="251"/>
      <c r="AL8" s="251"/>
      <c r="AM8" s="251"/>
      <c r="AN8" s="251"/>
      <c r="AO8" s="251"/>
      <c r="AP8" s="251"/>
      <c r="AQ8" s="251"/>
      <c r="AR8" s="251"/>
      <c r="AS8" s="251"/>
      <c r="AT8" s="251"/>
      <c r="AU8" s="251"/>
      <c r="AV8" s="251"/>
      <c r="AW8" s="251"/>
      <c r="AX8" s="251"/>
      <c r="AY8" s="251"/>
      <c r="AZ8" s="251"/>
      <c r="BA8" s="251"/>
      <c r="BB8" s="251"/>
      <c r="BC8" s="251"/>
      <c r="BD8" s="251"/>
      <c r="BE8" s="246" t="str">
        <f>IF(Eingabe!I57="","",Eingabe!I57)</f>
        <v/>
      </c>
      <c r="BF8" s="246"/>
      <c r="BG8" s="246"/>
      <c r="BH8" s="246"/>
      <c r="BI8" s="246"/>
      <c r="BJ8" s="246" t="str">
        <f>IF(Eingabe!I57="","",Eingabe!I57*Eingabe!B57)</f>
        <v/>
      </c>
      <c r="BK8" s="246"/>
      <c r="BL8" s="246"/>
      <c r="BM8" s="246"/>
      <c r="BN8" s="247"/>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22" t="str">
        <f>IF(Eingabe!A58="","",Eingabe!A58)</f>
        <v/>
      </c>
      <c r="B9" s="145"/>
      <c r="C9" s="145"/>
      <c r="D9" s="145" t="str">
        <f>IF(Eingabe!B58="","",Eingabe!B58)</f>
        <v/>
      </c>
      <c r="E9" s="145"/>
      <c r="F9" s="145"/>
      <c r="G9" s="145"/>
      <c r="H9" s="137" t="str">
        <f>IF(Eingabe!C58="","",Eingabe!C58)</f>
        <v/>
      </c>
      <c r="I9" s="137"/>
      <c r="J9" s="137"/>
      <c r="K9" s="137"/>
      <c r="L9" s="232" t="str">
        <f>IF(Eingabe!D58="","",Eingabe!D58)</f>
        <v/>
      </c>
      <c r="M9" s="232"/>
      <c r="N9" s="232"/>
      <c r="O9" s="232"/>
      <c r="P9" s="232"/>
      <c r="Q9" s="232"/>
      <c r="R9" s="232"/>
      <c r="S9" s="232"/>
      <c r="T9" s="232"/>
      <c r="U9" s="232"/>
      <c r="V9" s="232"/>
      <c r="W9" s="232"/>
      <c r="X9" s="232"/>
      <c r="Y9" s="232"/>
      <c r="Z9" s="232"/>
      <c r="AA9" s="232"/>
      <c r="AB9" s="232"/>
      <c r="AC9" s="232"/>
      <c r="AD9" s="232"/>
      <c r="AE9" s="232"/>
      <c r="AF9" s="232"/>
      <c r="AG9" s="232"/>
      <c r="AH9" s="251" t="str">
        <f>IF(Eingabe!F58&amp;Eingabe!G58="","",Eingabe!F58&amp;"  /  "&amp;Eingabe!G58)</f>
        <v/>
      </c>
      <c r="AI9" s="251"/>
      <c r="AJ9" s="251"/>
      <c r="AK9" s="251"/>
      <c r="AL9" s="251"/>
      <c r="AM9" s="251"/>
      <c r="AN9" s="251"/>
      <c r="AO9" s="251"/>
      <c r="AP9" s="251"/>
      <c r="AQ9" s="251"/>
      <c r="AR9" s="251"/>
      <c r="AS9" s="251"/>
      <c r="AT9" s="251"/>
      <c r="AU9" s="251"/>
      <c r="AV9" s="251"/>
      <c r="AW9" s="251"/>
      <c r="AX9" s="251"/>
      <c r="AY9" s="251"/>
      <c r="AZ9" s="251"/>
      <c r="BA9" s="251"/>
      <c r="BB9" s="251"/>
      <c r="BC9" s="251"/>
      <c r="BD9" s="251"/>
      <c r="BE9" s="246" t="str">
        <f>IF(Eingabe!I58="","",Eingabe!I58)</f>
        <v/>
      </c>
      <c r="BF9" s="246"/>
      <c r="BG9" s="246"/>
      <c r="BH9" s="246"/>
      <c r="BI9" s="246"/>
      <c r="BJ9" s="246" t="str">
        <f>IF(Eingabe!I58="","",Eingabe!I58*Eingabe!B58)</f>
        <v/>
      </c>
      <c r="BK9" s="246"/>
      <c r="BL9" s="246"/>
      <c r="BM9" s="246"/>
      <c r="BN9" s="247"/>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22" t="str">
        <f>IF(Eingabe!A59="","",Eingabe!A59)</f>
        <v/>
      </c>
      <c r="B10" s="145"/>
      <c r="C10" s="145"/>
      <c r="D10" s="145" t="str">
        <f>IF(Eingabe!B59="","",Eingabe!B59)</f>
        <v/>
      </c>
      <c r="E10" s="145"/>
      <c r="F10" s="145"/>
      <c r="G10" s="145"/>
      <c r="H10" s="137" t="str">
        <f>IF(Eingabe!C59="","",Eingabe!C59)</f>
        <v/>
      </c>
      <c r="I10" s="137"/>
      <c r="J10" s="137"/>
      <c r="K10" s="137"/>
      <c r="L10" s="232" t="str">
        <f>IF(Eingabe!D59="","",Eingabe!D59)</f>
        <v/>
      </c>
      <c r="M10" s="232"/>
      <c r="N10" s="232"/>
      <c r="O10" s="232"/>
      <c r="P10" s="232"/>
      <c r="Q10" s="232"/>
      <c r="R10" s="232"/>
      <c r="S10" s="232"/>
      <c r="T10" s="232"/>
      <c r="U10" s="232"/>
      <c r="V10" s="232"/>
      <c r="W10" s="232"/>
      <c r="X10" s="232"/>
      <c r="Y10" s="232"/>
      <c r="Z10" s="232"/>
      <c r="AA10" s="232"/>
      <c r="AB10" s="232"/>
      <c r="AC10" s="232"/>
      <c r="AD10" s="232"/>
      <c r="AE10" s="232"/>
      <c r="AF10" s="232"/>
      <c r="AG10" s="232"/>
      <c r="AH10" s="251" t="str">
        <f>IF(Eingabe!F59&amp;Eingabe!G59="","",Eingabe!F59&amp;"  /  "&amp;Eingabe!G59)</f>
        <v/>
      </c>
      <c r="AI10" s="251"/>
      <c r="AJ10" s="251"/>
      <c r="AK10" s="251"/>
      <c r="AL10" s="251"/>
      <c r="AM10" s="251"/>
      <c r="AN10" s="251"/>
      <c r="AO10" s="251"/>
      <c r="AP10" s="251"/>
      <c r="AQ10" s="251"/>
      <c r="AR10" s="251"/>
      <c r="AS10" s="251"/>
      <c r="AT10" s="251"/>
      <c r="AU10" s="251"/>
      <c r="AV10" s="251"/>
      <c r="AW10" s="251"/>
      <c r="AX10" s="251"/>
      <c r="AY10" s="251"/>
      <c r="AZ10" s="251"/>
      <c r="BA10" s="251"/>
      <c r="BB10" s="251"/>
      <c r="BC10" s="251"/>
      <c r="BD10" s="251"/>
      <c r="BE10" s="246" t="str">
        <f>IF(Eingabe!I59="","",Eingabe!I59)</f>
        <v/>
      </c>
      <c r="BF10" s="246"/>
      <c r="BG10" s="246"/>
      <c r="BH10" s="246"/>
      <c r="BI10" s="246"/>
      <c r="BJ10" s="246" t="str">
        <f>IF(Eingabe!I59="","",Eingabe!I59*Eingabe!B59)</f>
        <v/>
      </c>
      <c r="BK10" s="246"/>
      <c r="BL10" s="246"/>
      <c r="BM10" s="246"/>
      <c r="BN10" s="247"/>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22" t="str">
        <f>IF(Eingabe!A60="","",Eingabe!A60)</f>
        <v/>
      </c>
      <c r="B11" s="145"/>
      <c r="C11" s="145"/>
      <c r="D11" s="145" t="str">
        <f>IF(Eingabe!B60="","",Eingabe!B60)</f>
        <v/>
      </c>
      <c r="E11" s="145"/>
      <c r="F11" s="145"/>
      <c r="G11" s="145"/>
      <c r="H11" s="137" t="str">
        <f>IF(Eingabe!C60="","",Eingabe!C60)</f>
        <v/>
      </c>
      <c r="I11" s="137"/>
      <c r="J11" s="137"/>
      <c r="K11" s="137"/>
      <c r="L11" s="232" t="str">
        <f>IF(Eingabe!D60="","",Eingabe!D60)</f>
        <v/>
      </c>
      <c r="M11" s="232"/>
      <c r="N11" s="232"/>
      <c r="O11" s="232"/>
      <c r="P11" s="232"/>
      <c r="Q11" s="232"/>
      <c r="R11" s="232"/>
      <c r="S11" s="232"/>
      <c r="T11" s="232"/>
      <c r="U11" s="232"/>
      <c r="V11" s="232"/>
      <c r="W11" s="232"/>
      <c r="X11" s="232"/>
      <c r="Y11" s="232"/>
      <c r="Z11" s="232"/>
      <c r="AA11" s="232"/>
      <c r="AB11" s="232"/>
      <c r="AC11" s="232"/>
      <c r="AD11" s="232"/>
      <c r="AE11" s="232"/>
      <c r="AF11" s="232"/>
      <c r="AG11" s="232"/>
      <c r="AH11" s="251" t="str">
        <f>IF(Eingabe!F60&amp;Eingabe!G60="","",Eingabe!F60&amp;"  /  "&amp;Eingabe!G60)</f>
        <v/>
      </c>
      <c r="AI11" s="251"/>
      <c r="AJ11" s="251"/>
      <c r="AK11" s="251"/>
      <c r="AL11" s="251"/>
      <c r="AM11" s="251"/>
      <c r="AN11" s="251"/>
      <c r="AO11" s="251"/>
      <c r="AP11" s="251"/>
      <c r="AQ11" s="251"/>
      <c r="AR11" s="251"/>
      <c r="AS11" s="251"/>
      <c r="AT11" s="251"/>
      <c r="AU11" s="251"/>
      <c r="AV11" s="251"/>
      <c r="AW11" s="251"/>
      <c r="AX11" s="251"/>
      <c r="AY11" s="251"/>
      <c r="AZ11" s="251"/>
      <c r="BA11" s="251"/>
      <c r="BB11" s="251"/>
      <c r="BC11" s="251"/>
      <c r="BD11" s="251"/>
      <c r="BE11" s="246" t="str">
        <f>IF(Eingabe!I60="","",Eingabe!I60)</f>
        <v/>
      </c>
      <c r="BF11" s="246"/>
      <c r="BG11" s="246"/>
      <c r="BH11" s="246"/>
      <c r="BI11" s="246"/>
      <c r="BJ11" s="246" t="str">
        <f>IF(Eingabe!I60="","",Eingabe!I60*Eingabe!B60)</f>
        <v/>
      </c>
      <c r="BK11" s="246"/>
      <c r="BL11" s="246"/>
      <c r="BM11" s="246"/>
      <c r="BN11" s="247"/>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22" t="str">
        <f>IF(Eingabe!A61="","",Eingabe!A61)</f>
        <v/>
      </c>
      <c r="B12" s="145"/>
      <c r="C12" s="145"/>
      <c r="D12" s="145" t="str">
        <f>IF(Eingabe!B61="","",Eingabe!B61)</f>
        <v/>
      </c>
      <c r="E12" s="145"/>
      <c r="F12" s="145"/>
      <c r="G12" s="145"/>
      <c r="H12" s="137" t="str">
        <f>IF(Eingabe!C61="","",Eingabe!C61)</f>
        <v/>
      </c>
      <c r="I12" s="137"/>
      <c r="J12" s="137"/>
      <c r="K12" s="137"/>
      <c r="L12" s="232" t="str">
        <f>IF(Eingabe!D61="","",Eingabe!D61)</f>
        <v/>
      </c>
      <c r="M12" s="232"/>
      <c r="N12" s="232"/>
      <c r="O12" s="232"/>
      <c r="P12" s="232"/>
      <c r="Q12" s="232"/>
      <c r="R12" s="232"/>
      <c r="S12" s="232"/>
      <c r="T12" s="232"/>
      <c r="U12" s="232"/>
      <c r="V12" s="232"/>
      <c r="W12" s="232"/>
      <c r="X12" s="232"/>
      <c r="Y12" s="232"/>
      <c r="Z12" s="232"/>
      <c r="AA12" s="232"/>
      <c r="AB12" s="232"/>
      <c r="AC12" s="232"/>
      <c r="AD12" s="232"/>
      <c r="AE12" s="232"/>
      <c r="AF12" s="232"/>
      <c r="AG12" s="232"/>
      <c r="AH12" s="251" t="str">
        <f>IF(Eingabe!F61&amp;Eingabe!G61="","",Eingabe!F61&amp;"  /  "&amp;Eingabe!G61)</f>
        <v/>
      </c>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46" t="str">
        <f>IF(Eingabe!I61="","",Eingabe!I61)</f>
        <v/>
      </c>
      <c r="BF12" s="246"/>
      <c r="BG12" s="246"/>
      <c r="BH12" s="246"/>
      <c r="BI12" s="246"/>
      <c r="BJ12" s="246" t="str">
        <f>IF(Eingabe!I61="","",Eingabe!I61*Eingabe!B61)</f>
        <v/>
      </c>
      <c r="BK12" s="246"/>
      <c r="BL12" s="246"/>
      <c r="BM12" s="246"/>
      <c r="BN12" s="247"/>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22" t="str">
        <f>IF(Eingabe!A62="","",Eingabe!A62)</f>
        <v/>
      </c>
      <c r="B13" s="145"/>
      <c r="C13" s="145"/>
      <c r="D13" s="145" t="str">
        <f>IF(Eingabe!B62="","",Eingabe!B62)</f>
        <v/>
      </c>
      <c r="E13" s="145"/>
      <c r="F13" s="145"/>
      <c r="G13" s="145"/>
      <c r="H13" s="137" t="str">
        <f>IF(Eingabe!C62="","",Eingabe!C62)</f>
        <v/>
      </c>
      <c r="I13" s="137"/>
      <c r="J13" s="137"/>
      <c r="K13" s="137"/>
      <c r="L13" s="232" t="str">
        <f>IF(Eingabe!D62="","",Eingabe!D62)</f>
        <v/>
      </c>
      <c r="M13" s="232"/>
      <c r="N13" s="232"/>
      <c r="O13" s="232"/>
      <c r="P13" s="232"/>
      <c r="Q13" s="232"/>
      <c r="R13" s="232"/>
      <c r="S13" s="232"/>
      <c r="T13" s="232"/>
      <c r="U13" s="232"/>
      <c r="V13" s="232"/>
      <c r="W13" s="232"/>
      <c r="X13" s="232"/>
      <c r="Y13" s="232"/>
      <c r="Z13" s="232"/>
      <c r="AA13" s="232"/>
      <c r="AB13" s="232"/>
      <c r="AC13" s="232"/>
      <c r="AD13" s="232"/>
      <c r="AE13" s="232"/>
      <c r="AF13" s="232"/>
      <c r="AG13" s="232"/>
      <c r="AH13" s="251" t="str">
        <f>IF(Eingabe!F62&amp;Eingabe!G62="","",Eingabe!F62&amp;"  /  "&amp;Eingabe!G62)</f>
        <v/>
      </c>
      <c r="AI13" s="251"/>
      <c r="AJ13" s="251"/>
      <c r="AK13" s="251"/>
      <c r="AL13" s="251"/>
      <c r="AM13" s="251"/>
      <c r="AN13" s="251"/>
      <c r="AO13" s="251"/>
      <c r="AP13" s="251"/>
      <c r="AQ13" s="251"/>
      <c r="AR13" s="251"/>
      <c r="AS13" s="251"/>
      <c r="AT13" s="251"/>
      <c r="AU13" s="251"/>
      <c r="AV13" s="251"/>
      <c r="AW13" s="251"/>
      <c r="AX13" s="251"/>
      <c r="AY13" s="251"/>
      <c r="AZ13" s="251"/>
      <c r="BA13" s="251"/>
      <c r="BB13" s="251"/>
      <c r="BC13" s="251"/>
      <c r="BD13" s="251"/>
      <c r="BE13" s="246" t="str">
        <f>IF(Eingabe!I62="","",Eingabe!I62)</f>
        <v/>
      </c>
      <c r="BF13" s="246"/>
      <c r="BG13" s="246"/>
      <c r="BH13" s="246"/>
      <c r="BI13" s="246"/>
      <c r="BJ13" s="246" t="str">
        <f>IF(Eingabe!I62="","",Eingabe!I62*Eingabe!B62)</f>
        <v/>
      </c>
      <c r="BK13" s="246"/>
      <c r="BL13" s="246"/>
      <c r="BM13" s="246"/>
      <c r="BN13" s="247"/>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22" t="str">
        <f>IF(Eingabe!A63="","",Eingabe!A63)</f>
        <v/>
      </c>
      <c r="B14" s="145"/>
      <c r="C14" s="145"/>
      <c r="D14" s="145" t="str">
        <f>IF(Eingabe!B63="","",Eingabe!B63)</f>
        <v/>
      </c>
      <c r="E14" s="145"/>
      <c r="F14" s="145"/>
      <c r="G14" s="145"/>
      <c r="H14" s="137" t="str">
        <f>IF(Eingabe!C63="","",Eingabe!C63)</f>
        <v/>
      </c>
      <c r="I14" s="137"/>
      <c r="J14" s="137"/>
      <c r="K14" s="137"/>
      <c r="L14" s="232" t="str">
        <f>IF(Eingabe!D63="","",Eingabe!D63)</f>
        <v/>
      </c>
      <c r="M14" s="232"/>
      <c r="N14" s="232"/>
      <c r="O14" s="232"/>
      <c r="P14" s="232"/>
      <c r="Q14" s="232"/>
      <c r="R14" s="232"/>
      <c r="S14" s="232"/>
      <c r="T14" s="232"/>
      <c r="U14" s="232"/>
      <c r="V14" s="232"/>
      <c r="W14" s="232"/>
      <c r="X14" s="232"/>
      <c r="Y14" s="232"/>
      <c r="Z14" s="232"/>
      <c r="AA14" s="232"/>
      <c r="AB14" s="232"/>
      <c r="AC14" s="232"/>
      <c r="AD14" s="232"/>
      <c r="AE14" s="232"/>
      <c r="AF14" s="232"/>
      <c r="AG14" s="232"/>
      <c r="AH14" s="251" t="str">
        <f>IF(Eingabe!F63&amp;Eingabe!G63="","",Eingabe!F63&amp;"  /  "&amp;Eingabe!G63)</f>
        <v/>
      </c>
      <c r="AI14" s="251"/>
      <c r="AJ14" s="251"/>
      <c r="AK14" s="251"/>
      <c r="AL14" s="251"/>
      <c r="AM14" s="251"/>
      <c r="AN14" s="251"/>
      <c r="AO14" s="251"/>
      <c r="AP14" s="251"/>
      <c r="AQ14" s="251"/>
      <c r="AR14" s="251"/>
      <c r="AS14" s="251"/>
      <c r="AT14" s="251"/>
      <c r="AU14" s="251"/>
      <c r="AV14" s="251"/>
      <c r="AW14" s="251"/>
      <c r="AX14" s="251"/>
      <c r="AY14" s="251"/>
      <c r="AZ14" s="251"/>
      <c r="BA14" s="251"/>
      <c r="BB14" s="251"/>
      <c r="BC14" s="251"/>
      <c r="BD14" s="251"/>
      <c r="BE14" s="246" t="str">
        <f>IF(Eingabe!I63="","",Eingabe!I63)</f>
        <v/>
      </c>
      <c r="BF14" s="246"/>
      <c r="BG14" s="246"/>
      <c r="BH14" s="246"/>
      <c r="BI14" s="246"/>
      <c r="BJ14" s="246" t="str">
        <f>IF(Eingabe!I63="","",Eingabe!I63*Eingabe!B63)</f>
        <v/>
      </c>
      <c r="BK14" s="246"/>
      <c r="BL14" s="246"/>
      <c r="BM14" s="246"/>
      <c r="BN14" s="247"/>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22" t="str">
        <f>IF(Eingabe!A64="","",Eingabe!A64)</f>
        <v/>
      </c>
      <c r="B15" s="145"/>
      <c r="C15" s="145"/>
      <c r="D15" s="145" t="str">
        <f>IF(Eingabe!B64="","",Eingabe!B64)</f>
        <v/>
      </c>
      <c r="E15" s="145"/>
      <c r="F15" s="145"/>
      <c r="G15" s="145"/>
      <c r="H15" s="137" t="str">
        <f>IF(Eingabe!C64="","",Eingabe!C64)</f>
        <v/>
      </c>
      <c r="I15" s="137"/>
      <c r="J15" s="137"/>
      <c r="K15" s="137"/>
      <c r="L15" s="232" t="str">
        <f>IF(Eingabe!D64="","",Eingabe!D64)</f>
        <v/>
      </c>
      <c r="M15" s="232"/>
      <c r="N15" s="232"/>
      <c r="O15" s="232"/>
      <c r="P15" s="232"/>
      <c r="Q15" s="232"/>
      <c r="R15" s="232"/>
      <c r="S15" s="232"/>
      <c r="T15" s="232"/>
      <c r="U15" s="232"/>
      <c r="V15" s="232"/>
      <c r="W15" s="232"/>
      <c r="X15" s="232"/>
      <c r="Y15" s="232"/>
      <c r="Z15" s="232"/>
      <c r="AA15" s="232"/>
      <c r="AB15" s="232"/>
      <c r="AC15" s="232"/>
      <c r="AD15" s="232"/>
      <c r="AE15" s="232"/>
      <c r="AF15" s="232"/>
      <c r="AG15" s="232"/>
      <c r="AH15" s="251" t="str">
        <f>IF(Eingabe!F64&amp;Eingabe!G64="","",Eingabe!F64&amp;"  /  "&amp;Eingabe!G64)</f>
        <v/>
      </c>
      <c r="AI15" s="251"/>
      <c r="AJ15" s="251"/>
      <c r="AK15" s="251"/>
      <c r="AL15" s="251"/>
      <c r="AM15" s="251"/>
      <c r="AN15" s="251"/>
      <c r="AO15" s="251"/>
      <c r="AP15" s="251"/>
      <c r="AQ15" s="251"/>
      <c r="AR15" s="251"/>
      <c r="AS15" s="251"/>
      <c r="AT15" s="251"/>
      <c r="AU15" s="251"/>
      <c r="AV15" s="251"/>
      <c r="AW15" s="251"/>
      <c r="AX15" s="251"/>
      <c r="AY15" s="251"/>
      <c r="AZ15" s="251"/>
      <c r="BA15" s="251"/>
      <c r="BB15" s="251"/>
      <c r="BC15" s="251"/>
      <c r="BD15" s="251"/>
      <c r="BE15" s="246" t="str">
        <f>IF(Eingabe!I64="","",Eingabe!I64)</f>
        <v/>
      </c>
      <c r="BF15" s="246"/>
      <c r="BG15" s="246"/>
      <c r="BH15" s="246"/>
      <c r="BI15" s="246"/>
      <c r="BJ15" s="246" t="str">
        <f>IF(Eingabe!I64="","",Eingabe!I64*Eingabe!B64)</f>
        <v/>
      </c>
      <c r="BK15" s="246"/>
      <c r="BL15" s="246"/>
      <c r="BM15" s="246"/>
      <c r="BN15" s="247"/>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22" t="str">
        <f>IF(Eingabe!A65="","",Eingabe!A65)</f>
        <v/>
      </c>
      <c r="B16" s="145"/>
      <c r="C16" s="145"/>
      <c r="D16" s="145" t="str">
        <f>IF(Eingabe!B65="","",Eingabe!B65)</f>
        <v/>
      </c>
      <c r="E16" s="145"/>
      <c r="F16" s="145"/>
      <c r="G16" s="145"/>
      <c r="H16" s="137" t="str">
        <f>IF(Eingabe!C65="","",Eingabe!C65)</f>
        <v/>
      </c>
      <c r="I16" s="137"/>
      <c r="J16" s="137"/>
      <c r="K16" s="137"/>
      <c r="L16" s="232" t="str">
        <f>IF(Eingabe!D65="","",Eingabe!D65)</f>
        <v/>
      </c>
      <c r="M16" s="232"/>
      <c r="N16" s="232"/>
      <c r="O16" s="232"/>
      <c r="P16" s="232"/>
      <c r="Q16" s="232"/>
      <c r="R16" s="232"/>
      <c r="S16" s="232"/>
      <c r="T16" s="232"/>
      <c r="U16" s="232"/>
      <c r="V16" s="232"/>
      <c r="W16" s="232"/>
      <c r="X16" s="232"/>
      <c r="Y16" s="232"/>
      <c r="Z16" s="232"/>
      <c r="AA16" s="232"/>
      <c r="AB16" s="232"/>
      <c r="AC16" s="232"/>
      <c r="AD16" s="232"/>
      <c r="AE16" s="232"/>
      <c r="AF16" s="232"/>
      <c r="AG16" s="232"/>
      <c r="AH16" s="251" t="str">
        <f>IF(Eingabe!F65&amp;Eingabe!G65="","",Eingabe!F65&amp;"  /  "&amp;Eingabe!G65)</f>
        <v/>
      </c>
      <c r="AI16" s="251"/>
      <c r="AJ16" s="251"/>
      <c r="AK16" s="251"/>
      <c r="AL16" s="251"/>
      <c r="AM16" s="251"/>
      <c r="AN16" s="251"/>
      <c r="AO16" s="251"/>
      <c r="AP16" s="251"/>
      <c r="AQ16" s="251"/>
      <c r="AR16" s="251"/>
      <c r="AS16" s="251"/>
      <c r="AT16" s="251"/>
      <c r="AU16" s="251"/>
      <c r="AV16" s="251"/>
      <c r="AW16" s="251"/>
      <c r="AX16" s="251"/>
      <c r="AY16" s="251"/>
      <c r="AZ16" s="251"/>
      <c r="BA16" s="251"/>
      <c r="BB16" s="251"/>
      <c r="BC16" s="251"/>
      <c r="BD16" s="251"/>
      <c r="BE16" s="246" t="str">
        <f>IF(Eingabe!I65="","",Eingabe!I65)</f>
        <v/>
      </c>
      <c r="BF16" s="246"/>
      <c r="BG16" s="246"/>
      <c r="BH16" s="246"/>
      <c r="BI16" s="246"/>
      <c r="BJ16" s="246" t="str">
        <f>IF(Eingabe!I65="","",Eingabe!I65*Eingabe!B65)</f>
        <v/>
      </c>
      <c r="BK16" s="246"/>
      <c r="BL16" s="246"/>
      <c r="BM16" s="246"/>
      <c r="BN16" s="247"/>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22" t="str">
        <f>IF(Eingabe!A66="","",Eingabe!A66)</f>
        <v/>
      </c>
      <c r="B17" s="145"/>
      <c r="C17" s="145"/>
      <c r="D17" s="145" t="str">
        <f>IF(Eingabe!B66="","",Eingabe!B66)</f>
        <v/>
      </c>
      <c r="E17" s="145"/>
      <c r="F17" s="145"/>
      <c r="G17" s="145"/>
      <c r="H17" s="137" t="str">
        <f>IF(Eingabe!C66="","",Eingabe!C66)</f>
        <v/>
      </c>
      <c r="I17" s="137"/>
      <c r="J17" s="137"/>
      <c r="K17" s="137"/>
      <c r="L17" s="232" t="str">
        <f>IF(Eingabe!D66="","",Eingabe!D66)</f>
        <v/>
      </c>
      <c r="M17" s="232"/>
      <c r="N17" s="232"/>
      <c r="O17" s="232"/>
      <c r="P17" s="232"/>
      <c r="Q17" s="232"/>
      <c r="R17" s="232"/>
      <c r="S17" s="232"/>
      <c r="T17" s="232"/>
      <c r="U17" s="232"/>
      <c r="V17" s="232"/>
      <c r="W17" s="232"/>
      <c r="X17" s="232"/>
      <c r="Y17" s="232"/>
      <c r="Z17" s="232"/>
      <c r="AA17" s="232"/>
      <c r="AB17" s="232"/>
      <c r="AC17" s="232"/>
      <c r="AD17" s="232"/>
      <c r="AE17" s="232"/>
      <c r="AF17" s="232"/>
      <c r="AG17" s="232"/>
      <c r="AH17" s="251" t="str">
        <f>IF(Eingabe!F66&amp;Eingabe!G66="","",Eingabe!F66&amp;"  /  "&amp;Eingabe!G66)</f>
        <v/>
      </c>
      <c r="AI17" s="251"/>
      <c r="AJ17" s="251"/>
      <c r="AK17" s="251"/>
      <c r="AL17" s="251"/>
      <c r="AM17" s="251"/>
      <c r="AN17" s="251"/>
      <c r="AO17" s="251"/>
      <c r="AP17" s="251"/>
      <c r="AQ17" s="251"/>
      <c r="AR17" s="251"/>
      <c r="AS17" s="251"/>
      <c r="AT17" s="251"/>
      <c r="AU17" s="251"/>
      <c r="AV17" s="251"/>
      <c r="AW17" s="251"/>
      <c r="AX17" s="251"/>
      <c r="AY17" s="251"/>
      <c r="AZ17" s="251"/>
      <c r="BA17" s="251"/>
      <c r="BB17" s="251"/>
      <c r="BC17" s="251"/>
      <c r="BD17" s="251"/>
      <c r="BE17" s="246" t="str">
        <f>IF(Eingabe!I66="","",Eingabe!I66)</f>
        <v/>
      </c>
      <c r="BF17" s="246"/>
      <c r="BG17" s="246"/>
      <c r="BH17" s="246"/>
      <c r="BI17" s="246"/>
      <c r="BJ17" s="246" t="str">
        <f>IF(Eingabe!I66="","",Eingabe!I66*Eingabe!B66)</f>
        <v/>
      </c>
      <c r="BK17" s="246"/>
      <c r="BL17" s="246"/>
      <c r="BM17" s="246"/>
      <c r="BN17" s="247"/>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22" t="str">
        <f>IF(Eingabe!A67="","",Eingabe!A67)</f>
        <v/>
      </c>
      <c r="B18" s="145"/>
      <c r="C18" s="145"/>
      <c r="D18" s="145" t="str">
        <f>IF(Eingabe!B67="","",Eingabe!B67)</f>
        <v/>
      </c>
      <c r="E18" s="145"/>
      <c r="F18" s="145"/>
      <c r="G18" s="145"/>
      <c r="H18" s="137" t="str">
        <f>IF(Eingabe!C67="","",Eingabe!C67)</f>
        <v/>
      </c>
      <c r="I18" s="137"/>
      <c r="J18" s="137"/>
      <c r="K18" s="137"/>
      <c r="L18" s="232" t="str">
        <f>IF(Eingabe!D67="","",Eingabe!D67)</f>
        <v/>
      </c>
      <c r="M18" s="232"/>
      <c r="N18" s="232"/>
      <c r="O18" s="232"/>
      <c r="P18" s="232"/>
      <c r="Q18" s="232"/>
      <c r="R18" s="232"/>
      <c r="S18" s="232"/>
      <c r="T18" s="232"/>
      <c r="U18" s="232"/>
      <c r="V18" s="232"/>
      <c r="W18" s="232"/>
      <c r="X18" s="232"/>
      <c r="Y18" s="232"/>
      <c r="Z18" s="232"/>
      <c r="AA18" s="232"/>
      <c r="AB18" s="232"/>
      <c r="AC18" s="232"/>
      <c r="AD18" s="232"/>
      <c r="AE18" s="232"/>
      <c r="AF18" s="232"/>
      <c r="AG18" s="232"/>
      <c r="AH18" s="251" t="str">
        <f>IF(Eingabe!F67&amp;Eingabe!G67="","",Eingabe!F67&amp;"  /  "&amp;Eingabe!G67)</f>
        <v/>
      </c>
      <c r="AI18" s="251"/>
      <c r="AJ18" s="251"/>
      <c r="AK18" s="251"/>
      <c r="AL18" s="251"/>
      <c r="AM18" s="251"/>
      <c r="AN18" s="251"/>
      <c r="AO18" s="251"/>
      <c r="AP18" s="251"/>
      <c r="AQ18" s="251"/>
      <c r="AR18" s="251"/>
      <c r="AS18" s="251"/>
      <c r="AT18" s="251"/>
      <c r="AU18" s="251"/>
      <c r="AV18" s="251"/>
      <c r="AW18" s="251"/>
      <c r="AX18" s="251"/>
      <c r="AY18" s="251"/>
      <c r="AZ18" s="251"/>
      <c r="BA18" s="251"/>
      <c r="BB18" s="251"/>
      <c r="BC18" s="251"/>
      <c r="BD18" s="251"/>
      <c r="BE18" s="246" t="str">
        <f>IF(Eingabe!I67="","",Eingabe!I67)</f>
        <v/>
      </c>
      <c r="BF18" s="246"/>
      <c r="BG18" s="246"/>
      <c r="BH18" s="246"/>
      <c r="BI18" s="246"/>
      <c r="BJ18" s="246" t="str">
        <f>IF(Eingabe!I67="","",Eingabe!I67*Eingabe!B67)</f>
        <v/>
      </c>
      <c r="BK18" s="246"/>
      <c r="BL18" s="246"/>
      <c r="BM18" s="246"/>
      <c r="BN18" s="247"/>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22" t="str">
        <f>IF(Eingabe!A68="","",Eingabe!A68)</f>
        <v/>
      </c>
      <c r="B19" s="145"/>
      <c r="C19" s="145"/>
      <c r="D19" s="145" t="str">
        <f>IF(Eingabe!B68="","",Eingabe!B68)</f>
        <v/>
      </c>
      <c r="E19" s="145"/>
      <c r="F19" s="145"/>
      <c r="G19" s="145"/>
      <c r="H19" s="137" t="str">
        <f>IF(Eingabe!C68="","",Eingabe!C68)</f>
        <v/>
      </c>
      <c r="I19" s="137"/>
      <c r="J19" s="137"/>
      <c r="K19" s="137"/>
      <c r="L19" s="232" t="str">
        <f>IF(Eingabe!D68="","",Eingabe!D68)</f>
        <v/>
      </c>
      <c r="M19" s="232"/>
      <c r="N19" s="232"/>
      <c r="O19" s="232"/>
      <c r="P19" s="232"/>
      <c r="Q19" s="232"/>
      <c r="R19" s="232"/>
      <c r="S19" s="232"/>
      <c r="T19" s="232"/>
      <c r="U19" s="232"/>
      <c r="V19" s="232"/>
      <c r="W19" s="232"/>
      <c r="X19" s="232"/>
      <c r="Y19" s="232"/>
      <c r="Z19" s="232"/>
      <c r="AA19" s="232"/>
      <c r="AB19" s="232"/>
      <c r="AC19" s="232"/>
      <c r="AD19" s="232"/>
      <c r="AE19" s="232"/>
      <c r="AF19" s="232"/>
      <c r="AG19" s="232"/>
      <c r="AH19" s="251" t="str">
        <f>IF(Eingabe!F68&amp;Eingabe!G68="","",Eingabe!F68&amp;"  /  "&amp;Eingabe!G68)</f>
        <v/>
      </c>
      <c r="AI19" s="251"/>
      <c r="AJ19" s="251"/>
      <c r="AK19" s="251"/>
      <c r="AL19" s="251"/>
      <c r="AM19" s="251"/>
      <c r="AN19" s="251"/>
      <c r="AO19" s="251"/>
      <c r="AP19" s="251"/>
      <c r="AQ19" s="251"/>
      <c r="AR19" s="251"/>
      <c r="AS19" s="251"/>
      <c r="AT19" s="251"/>
      <c r="AU19" s="251"/>
      <c r="AV19" s="251"/>
      <c r="AW19" s="251"/>
      <c r="AX19" s="251"/>
      <c r="AY19" s="251"/>
      <c r="AZ19" s="251"/>
      <c r="BA19" s="251"/>
      <c r="BB19" s="251"/>
      <c r="BC19" s="251"/>
      <c r="BD19" s="251"/>
      <c r="BE19" s="246" t="str">
        <f>IF(Eingabe!I68="","",Eingabe!I68)</f>
        <v/>
      </c>
      <c r="BF19" s="246"/>
      <c r="BG19" s="246"/>
      <c r="BH19" s="246"/>
      <c r="BI19" s="246"/>
      <c r="BJ19" s="246" t="str">
        <f>IF(Eingabe!I68="","",Eingabe!I68*Eingabe!B68)</f>
        <v/>
      </c>
      <c r="BK19" s="246"/>
      <c r="BL19" s="246"/>
      <c r="BM19" s="246"/>
      <c r="BN19" s="247"/>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22" t="str">
        <f>IF(Eingabe!A69="","",Eingabe!A69)</f>
        <v/>
      </c>
      <c r="B20" s="145"/>
      <c r="C20" s="145"/>
      <c r="D20" s="145" t="str">
        <f>IF(Eingabe!B69="","",Eingabe!B69)</f>
        <v/>
      </c>
      <c r="E20" s="145"/>
      <c r="F20" s="145"/>
      <c r="G20" s="145"/>
      <c r="H20" s="137" t="str">
        <f>IF(Eingabe!C69="","",Eingabe!C69)</f>
        <v/>
      </c>
      <c r="I20" s="137"/>
      <c r="J20" s="137"/>
      <c r="K20" s="137"/>
      <c r="L20" s="232" t="str">
        <f>IF(Eingabe!D69="","",Eingabe!D69)</f>
        <v/>
      </c>
      <c r="M20" s="232"/>
      <c r="N20" s="232"/>
      <c r="O20" s="232"/>
      <c r="P20" s="232"/>
      <c r="Q20" s="232"/>
      <c r="R20" s="232"/>
      <c r="S20" s="232"/>
      <c r="T20" s="232"/>
      <c r="U20" s="232"/>
      <c r="V20" s="232"/>
      <c r="W20" s="232"/>
      <c r="X20" s="232"/>
      <c r="Y20" s="232"/>
      <c r="Z20" s="232"/>
      <c r="AA20" s="232"/>
      <c r="AB20" s="232"/>
      <c r="AC20" s="232"/>
      <c r="AD20" s="232"/>
      <c r="AE20" s="232"/>
      <c r="AF20" s="232"/>
      <c r="AG20" s="232"/>
      <c r="AH20" s="251" t="str">
        <f>IF(Eingabe!F69&amp;Eingabe!G69="","",Eingabe!F69&amp;"  /  "&amp;Eingabe!G69)</f>
        <v/>
      </c>
      <c r="AI20" s="251"/>
      <c r="AJ20" s="251"/>
      <c r="AK20" s="251"/>
      <c r="AL20" s="251"/>
      <c r="AM20" s="251"/>
      <c r="AN20" s="251"/>
      <c r="AO20" s="251"/>
      <c r="AP20" s="251"/>
      <c r="AQ20" s="251"/>
      <c r="AR20" s="251"/>
      <c r="AS20" s="251"/>
      <c r="AT20" s="251"/>
      <c r="AU20" s="251"/>
      <c r="AV20" s="251"/>
      <c r="AW20" s="251"/>
      <c r="AX20" s="251"/>
      <c r="AY20" s="251"/>
      <c r="AZ20" s="251"/>
      <c r="BA20" s="251"/>
      <c r="BB20" s="251"/>
      <c r="BC20" s="251"/>
      <c r="BD20" s="251"/>
      <c r="BE20" s="246" t="str">
        <f>IF(Eingabe!I69="","",Eingabe!I69)</f>
        <v/>
      </c>
      <c r="BF20" s="246"/>
      <c r="BG20" s="246"/>
      <c r="BH20" s="246"/>
      <c r="BI20" s="246"/>
      <c r="BJ20" s="246" t="str">
        <f>IF(Eingabe!I69="","",Eingabe!I69*Eingabe!B69)</f>
        <v/>
      </c>
      <c r="BK20" s="246"/>
      <c r="BL20" s="246"/>
      <c r="BM20" s="246"/>
      <c r="BN20" s="247"/>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22" t="str">
        <f>IF(Eingabe!A70="","",Eingabe!A70)</f>
        <v/>
      </c>
      <c r="B21" s="145"/>
      <c r="C21" s="145"/>
      <c r="D21" s="145" t="str">
        <f>IF(Eingabe!B70="","",Eingabe!B70)</f>
        <v/>
      </c>
      <c r="E21" s="145"/>
      <c r="F21" s="145"/>
      <c r="G21" s="145"/>
      <c r="H21" s="137" t="str">
        <f>IF(Eingabe!C70="","",Eingabe!C70)</f>
        <v/>
      </c>
      <c r="I21" s="137"/>
      <c r="J21" s="137"/>
      <c r="K21" s="137"/>
      <c r="L21" s="232" t="str">
        <f>IF(Eingabe!D70="","",Eingabe!D70)</f>
        <v/>
      </c>
      <c r="M21" s="232"/>
      <c r="N21" s="232"/>
      <c r="O21" s="232"/>
      <c r="P21" s="232"/>
      <c r="Q21" s="232"/>
      <c r="R21" s="232"/>
      <c r="S21" s="232"/>
      <c r="T21" s="232"/>
      <c r="U21" s="232"/>
      <c r="V21" s="232"/>
      <c r="W21" s="232"/>
      <c r="X21" s="232"/>
      <c r="Y21" s="232"/>
      <c r="Z21" s="232"/>
      <c r="AA21" s="232"/>
      <c r="AB21" s="232"/>
      <c r="AC21" s="232"/>
      <c r="AD21" s="232"/>
      <c r="AE21" s="232"/>
      <c r="AF21" s="232"/>
      <c r="AG21" s="232"/>
      <c r="AH21" s="251" t="str">
        <f>IF(Eingabe!F70&amp;Eingabe!G70="","",Eingabe!F70&amp;"  /  "&amp;Eingabe!G70)</f>
        <v/>
      </c>
      <c r="AI21" s="251"/>
      <c r="AJ21" s="251"/>
      <c r="AK21" s="251"/>
      <c r="AL21" s="251"/>
      <c r="AM21" s="251"/>
      <c r="AN21" s="251"/>
      <c r="AO21" s="251"/>
      <c r="AP21" s="251"/>
      <c r="AQ21" s="251"/>
      <c r="AR21" s="251"/>
      <c r="AS21" s="251"/>
      <c r="AT21" s="251"/>
      <c r="AU21" s="251"/>
      <c r="AV21" s="251"/>
      <c r="AW21" s="251"/>
      <c r="AX21" s="251"/>
      <c r="AY21" s="251"/>
      <c r="AZ21" s="251"/>
      <c r="BA21" s="251"/>
      <c r="BB21" s="251"/>
      <c r="BC21" s="251"/>
      <c r="BD21" s="251"/>
      <c r="BE21" s="246" t="str">
        <f>IF(Eingabe!I70="","",Eingabe!I70)</f>
        <v/>
      </c>
      <c r="BF21" s="246"/>
      <c r="BG21" s="246"/>
      <c r="BH21" s="246"/>
      <c r="BI21" s="246"/>
      <c r="BJ21" s="246" t="str">
        <f>IF(Eingabe!I70="","",Eingabe!I70*Eingabe!B70)</f>
        <v/>
      </c>
      <c r="BK21" s="246"/>
      <c r="BL21" s="246"/>
      <c r="BM21" s="246"/>
      <c r="BN21" s="247"/>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22" t="str">
        <f>IF(Eingabe!A71="","",Eingabe!A71)</f>
        <v/>
      </c>
      <c r="B22" s="145"/>
      <c r="C22" s="145"/>
      <c r="D22" s="145" t="str">
        <f>IF(Eingabe!B71="","",Eingabe!B71)</f>
        <v/>
      </c>
      <c r="E22" s="145"/>
      <c r="F22" s="145"/>
      <c r="G22" s="145"/>
      <c r="H22" s="137" t="str">
        <f>IF(Eingabe!C71="","",Eingabe!C71)</f>
        <v/>
      </c>
      <c r="I22" s="137"/>
      <c r="J22" s="137"/>
      <c r="K22" s="137"/>
      <c r="L22" s="232" t="str">
        <f>IF(Eingabe!D71="","",Eingabe!D71)</f>
        <v/>
      </c>
      <c r="M22" s="232"/>
      <c r="N22" s="232"/>
      <c r="O22" s="232"/>
      <c r="P22" s="232"/>
      <c r="Q22" s="232"/>
      <c r="R22" s="232"/>
      <c r="S22" s="232"/>
      <c r="T22" s="232"/>
      <c r="U22" s="232"/>
      <c r="V22" s="232"/>
      <c r="W22" s="232"/>
      <c r="X22" s="232"/>
      <c r="Y22" s="232"/>
      <c r="Z22" s="232"/>
      <c r="AA22" s="232"/>
      <c r="AB22" s="232"/>
      <c r="AC22" s="232"/>
      <c r="AD22" s="232"/>
      <c r="AE22" s="232"/>
      <c r="AF22" s="232"/>
      <c r="AG22" s="232"/>
      <c r="AH22" s="251" t="str">
        <f>IF(Eingabe!F71&amp;Eingabe!G71="","",Eingabe!F71&amp;"  /  "&amp;Eingabe!G71)</f>
        <v/>
      </c>
      <c r="AI22" s="251"/>
      <c r="AJ22" s="251"/>
      <c r="AK22" s="251"/>
      <c r="AL22" s="251"/>
      <c r="AM22" s="251"/>
      <c r="AN22" s="251"/>
      <c r="AO22" s="251"/>
      <c r="AP22" s="251"/>
      <c r="AQ22" s="251"/>
      <c r="AR22" s="251"/>
      <c r="AS22" s="251"/>
      <c r="AT22" s="251"/>
      <c r="AU22" s="251"/>
      <c r="AV22" s="251"/>
      <c r="AW22" s="251"/>
      <c r="AX22" s="251"/>
      <c r="AY22" s="251"/>
      <c r="AZ22" s="251"/>
      <c r="BA22" s="251"/>
      <c r="BB22" s="251"/>
      <c r="BC22" s="251"/>
      <c r="BD22" s="251"/>
      <c r="BE22" s="246" t="str">
        <f>IF(Eingabe!I71="","",Eingabe!I71)</f>
        <v/>
      </c>
      <c r="BF22" s="246"/>
      <c r="BG22" s="246"/>
      <c r="BH22" s="246"/>
      <c r="BI22" s="246"/>
      <c r="BJ22" s="246" t="str">
        <f>IF(Eingabe!I71="","",Eingabe!I71*Eingabe!B71)</f>
        <v/>
      </c>
      <c r="BK22" s="246"/>
      <c r="BL22" s="246"/>
      <c r="BM22" s="246"/>
      <c r="BN22" s="247"/>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22" t="str">
        <f>IF(Eingabe!A72="","",Eingabe!A72)</f>
        <v/>
      </c>
      <c r="B23" s="145"/>
      <c r="C23" s="145"/>
      <c r="D23" s="145" t="str">
        <f>IF(Eingabe!B72="","",Eingabe!B72)</f>
        <v/>
      </c>
      <c r="E23" s="145"/>
      <c r="F23" s="145"/>
      <c r="G23" s="145"/>
      <c r="H23" s="137" t="str">
        <f>IF(Eingabe!C72="","",Eingabe!C72)</f>
        <v/>
      </c>
      <c r="I23" s="137"/>
      <c r="J23" s="137"/>
      <c r="K23" s="137"/>
      <c r="L23" s="232" t="str">
        <f>IF(Eingabe!D72="","",Eingabe!D72)</f>
        <v/>
      </c>
      <c r="M23" s="232"/>
      <c r="N23" s="232"/>
      <c r="O23" s="232"/>
      <c r="P23" s="232"/>
      <c r="Q23" s="232"/>
      <c r="R23" s="232"/>
      <c r="S23" s="232"/>
      <c r="T23" s="232"/>
      <c r="U23" s="232"/>
      <c r="V23" s="232"/>
      <c r="W23" s="232"/>
      <c r="X23" s="232"/>
      <c r="Y23" s="232"/>
      <c r="Z23" s="232"/>
      <c r="AA23" s="232"/>
      <c r="AB23" s="232"/>
      <c r="AC23" s="232"/>
      <c r="AD23" s="232"/>
      <c r="AE23" s="232"/>
      <c r="AF23" s="232"/>
      <c r="AG23" s="232"/>
      <c r="AH23" s="251" t="str">
        <f>IF(Eingabe!F72&amp;Eingabe!G72="","",Eingabe!F72&amp;"  /  "&amp;Eingabe!G72)</f>
        <v/>
      </c>
      <c r="AI23" s="251"/>
      <c r="AJ23" s="251"/>
      <c r="AK23" s="251"/>
      <c r="AL23" s="251"/>
      <c r="AM23" s="251"/>
      <c r="AN23" s="251"/>
      <c r="AO23" s="251"/>
      <c r="AP23" s="251"/>
      <c r="AQ23" s="251"/>
      <c r="AR23" s="251"/>
      <c r="AS23" s="251"/>
      <c r="AT23" s="251"/>
      <c r="AU23" s="251"/>
      <c r="AV23" s="251"/>
      <c r="AW23" s="251"/>
      <c r="AX23" s="251"/>
      <c r="AY23" s="251"/>
      <c r="AZ23" s="251"/>
      <c r="BA23" s="251"/>
      <c r="BB23" s="251"/>
      <c r="BC23" s="251"/>
      <c r="BD23" s="251"/>
      <c r="BE23" s="246" t="str">
        <f>IF(Eingabe!I72="","",Eingabe!I72)</f>
        <v/>
      </c>
      <c r="BF23" s="246"/>
      <c r="BG23" s="246"/>
      <c r="BH23" s="246"/>
      <c r="BI23" s="246"/>
      <c r="BJ23" s="246" t="str">
        <f>IF(Eingabe!I72="","",Eingabe!I72*Eingabe!B72)</f>
        <v/>
      </c>
      <c r="BK23" s="246"/>
      <c r="BL23" s="246"/>
      <c r="BM23" s="246"/>
      <c r="BN23" s="247"/>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22" t="str">
        <f>IF(Eingabe!A73="","",Eingabe!A73)</f>
        <v/>
      </c>
      <c r="B24" s="145"/>
      <c r="C24" s="145"/>
      <c r="D24" s="145" t="str">
        <f>IF(Eingabe!B73="","",Eingabe!B73)</f>
        <v/>
      </c>
      <c r="E24" s="145"/>
      <c r="F24" s="145"/>
      <c r="G24" s="145"/>
      <c r="H24" s="137" t="str">
        <f>IF(Eingabe!C73="","",Eingabe!C73)</f>
        <v/>
      </c>
      <c r="I24" s="137"/>
      <c r="J24" s="137"/>
      <c r="K24" s="137"/>
      <c r="L24" s="232" t="str">
        <f>IF(Eingabe!D73="","",Eingabe!D73)</f>
        <v/>
      </c>
      <c r="M24" s="232"/>
      <c r="N24" s="232"/>
      <c r="O24" s="232"/>
      <c r="P24" s="232"/>
      <c r="Q24" s="232"/>
      <c r="R24" s="232"/>
      <c r="S24" s="232"/>
      <c r="T24" s="232"/>
      <c r="U24" s="232"/>
      <c r="V24" s="232"/>
      <c r="W24" s="232"/>
      <c r="X24" s="232"/>
      <c r="Y24" s="232"/>
      <c r="Z24" s="232"/>
      <c r="AA24" s="232"/>
      <c r="AB24" s="232"/>
      <c r="AC24" s="232"/>
      <c r="AD24" s="232"/>
      <c r="AE24" s="232"/>
      <c r="AF24" s="232"/>
      <c r="AG24" s="232"/>
      <c r="AH24" s="251" t="str">
        <f>IF(Eingabe!F73&amp;Eingabe!G73="","",Eingabe!F73&amp;"  /  "&amp;Eingabe!G73)</f>
        <v/>
      </c>
      <c r="AI24" s="251"/>
      <c r="AJ24" s="251"/>
      <c r="AK24" s="251"/>
      <c r="AL24" s="251"/>
      <c r="AM24" s="251"/>
      <c r="AN24" s="251"/>
      <c r="AO24" s="251"/>
      <c r="AP24" s="251"/>
      <c r="AQ24" s="251"/>
      <c r="AR24" s="251"/>
      <c r="AS24" s="251"/>
      <c r="AT24" s="251"/>
      <c r="AU24" s="251"/>
      <c r="AV24" s="251"/>
      <c r="AW24" s="251"/>
      <c r="AX24" s="251"/>
      <c r="AY24" s="251"/>
      <c r="AZ24" s="251"/>
      <c r="BA24" s="251"/>
      <c r="BB24" s="251"/>
      <c r="BC24" s="251"/>
      <c r="BD24" s="251"/>
      <c r="BE24" s="246" t="str">
        <f>IF(Eingabe!I73="","",Eingabe!I73)</f>
        <v/>
      </c>
      <c r="BF24" s="246"/>
      <c r="BG24" s="246"/>
      <c r="BH24" s="246"/>
      <c r="BI24" s="246"/>
      <c r="BJ24" s="246" t="str">
        <f>IF(Eingabe!I73="","",Eingabe!I73*Eingabe!B73)</f>
        <v/>
      </c>
      <c r="BK24" s="246"/>
      <c r="BL24" s="246"/>
      <c r="BM24" s="246"/>
      <c r="BN24" s="247"/>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22" t="str">
        <f>IF(Eingabe!A74="","",Eingabe!A74)</f>
        <v/>
      </c>
      <c r="B25" s="145"/>
      <c r="C25" s="145"/>
      <c r="D25" s="145" t="str">
        <f>IF(Eingabe!B74="","",Eingabe!B74)</f>
        <v/>
      </c>
      <c r="E25" s="145"/>
      <c r="F25" s="145"/>
      <c r="G25" s="145"/>
      <c r="H25" s="137" t="str">
        <f>IF(Eingabe!C74="","",Eingabe!C74)</f>
        <v/>
      </c>
      <c r="I25" s="137"/>
      <c r="J25" s="137"/>
      <c r="K25" s="137"/>
      <c r="L25" s="232" t="str">
        <f>IF(Eingabe!D74="","",Eingabe!D74)</f>
        <v/>
      </c>
      <c r="M25" s="232"/>
      <c r="N25" s="232"/>
      <c r="O25" s="232"/>
      <c r="P25" s="232"/>
      <c r="Q25" s="232"/>
      <c r="R25" s="232"/>
      <c r="S25" s="232"/>
      <c r="T25" s="232"/>
      <c r="U25" s="232"/>
      <c r="V25" s="232"/>
      <c r="W25" s="232"/>
      <c r="X25" s="232"/>
      <c r="Y25" s="232"/>
      <c r="Z25" s="232"/>
      <c r="AA25" s="232"/>
      <c r="AB25" s="232"/>
      <c r="AC25" s="232"/>
      <c r="AD25" s="232"/>
      <c r="AE25" s="232"/>
      <c r="AF25" s="232"/>
      <c r="AG25" s="232"/>
      <c r="AH25" s="251" t="str">
        <f>IF(Eingabe!F74&amp;Eingabe!G74="","",Eingabe!F74&amp;"  /  "&amp;Eingabe!G74)</f>
        <v/>
      </c>
      <c r="AI25" s="251"/>
      <c r="AJ25" s="251"/>
      <c r="AK25" s="251"/>
      <c r="AL25" s="251"/>
      <c r="AM25" s="251"/>
      <c r="AN25" s="251"/>
      <c r="AO25" s="251"/>
      <c r="AP25" s="251"/>
      <c r="AQ25" s="251"/>
      <c r="AR25" s="251"/>
      <c r="AS25" s="251"/>
      <c r="AT25" s="251"/>
      <c r="AU25" s="251"/>
      <c r="AV25" s="251"/>
      <c r="AW25" s="251"/>
      <c r="AX25" s="251"/>
      <c r="AY25" s="251"/>
      <c r="AZ25" s="251"/>
      <c r="BA25" s="251"/>
      <c r="BB25" s="251"/>
      <c r="BC25" s="251"/>
      <c r="BD25" s="251"/>
      <c r="BE25" s="246" t="str">
        <f>IF(Eingabe!I74="","",Eingabe!I74)</f>
        <v/>
      </c>
      <c r="BF25" s="246"/>
      <c r="BG25" s="246"/>
      <c r="BH25" s="246"/>
      <c r="BI25" s="246"/>
      <c r="BJ25" s="246" t="str">
        <f>IF(Eingabe!I74="","",Eingabe!I74*Eingabe!B74)</f>
        <v/>
      </c>
      <c r="BK25" s="246"/>
      <c r="BL25" s="246"/>
      <c r="BM25" s="246"/>
      <c r="BN25" s="247"/>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22" t="str">
        <f>IF(Eingabe!A75="","",Eingabe!A75)</f>
        <v/>
      </c>
      <c r="B26" s="145"/>
      <c r="C26" s="145"/>
      <c r="D26" s="145" t="str">
        <f>IF(Eingabe!B75="","",Eingabe!B75)</f>
        <v/>
      </c>
      <c r="E26" s="145"/>
      <c r="F26" s="145"/>
      <c r="G26" s="145"/>
      <c r="H26" s="137" t="str">
        <f>IF(Eingabe!C75="","",Eingabe!C75)</f>
        <v/>
      </c>
      <c r="I26" s="137"/>
      <c r="J26" s="137"/>
      <c r="K26" s="137"/>
      <c r="L26" s="232" t="str">
        <f>IF(Eingabe!D75="","",Eingabe!D75)</f>
        <v/>
      </c>
      <c r="M26" s="232"/>
      <c r="N26" s="232"/>
      <c r="O26" s="232"/>
      <c r="P26" s="232"/>
      <c r="Q26" s="232"/>
      <c r="R26" s="232"/>
      <c r="S26" s="232"/>
      <c r="T26" s="232"/>
      <c r="U26" s="232"/>
      <c r="V26" s="232"/>
      <c r="W26" s="232"/>
      <c r="X26" s="232"/>
      <c r="Y26" s="232"/>
      <c r="Z26" s="232"/>
      <c r="AA26" s="232"/>
      <c r="AB26" s="232"/>
      <c r="AC26" s="232"/>
      <c r="AD26" s="232"/>
      <c r="AE26" s="232"/>
      <c r="AF26" s="232"/>
      <c r="AG26" s="232"/>
      <c r="AH26" s="251" t="str">
        <f>IF(Eingabe!F75&amp;Eingabe!G75="","",Eingabe!F75&amp;"  /  "&amp;Eingabe!G75)</f>
        <v/>
      </c>
      <c r="AI26" s="251"/>
      <c r="AJ26" s="251"/>
      <c r="AK26" s="251"/>
      <c r="AL26" s="251"/>
      <c r="AM26" s="251"/>
      <c r="AN26" s="251"/>
      <c r="AO26" s="251"/>
      <c r="AP26" s="251"/>
      <c r="AQ26" s="251"/>
      <c r="AR26" s="251"/>
      <c r="AS26" s="251"/>
      <c r="AT26" s="251"/>
      <c r="AU26" s="251"/>
      <c r="AV26" s="251"/>
      <c r="AW26" s="251"/>
      <c r="AX26" s="251"/>
      <c r="AY26" s="251"/>
      <c r="AZ26" s="251"/>
      <c r="BA26" s="251"/>
      <c r="BB26" s="251"/>
      <c r="BC26" s="251"/>
      <c r="BD26" s="251"/>
      <c r="BE26" s="246" t="str">
        <f>IF(Eingabe!I75="","",Eingabe!I75)</f>
        <v/>
      </c>
      <c r="BF26" s="246"/>
      <c r="BG26" s="246"/>
      <c r="BH26" s="246"/>
      <c r="BI26" s="246"/>
      <c r="BJ26" s="246" t="str">
        <f>IF(Eingabe!I75="","",Eingabe!I75*Eingabe!B75)</f>
        <v/>
      </c>
      <c r="BK26" s="246"/>
      <c r="BL26" s="246"/>
      <c r="BM26" s="246"/>
      <c r="BN26" s="247"/>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22" t="str">
        <f>IF(Eingabe!A76="","",Eingabe!A76)</f>
        <v/>
      </c>
      <c r="B27" s="145"/>
      <c r="C27" s="145"/>
      <c r="D27" s="145" t="str">
        <f>IF(Eingabe!B76="","",Eingabe!B76)</f>
        <v/>
      </c>
      <c r="E27" s="145"/>
      <c r="F27" s="145"/>
      <c r="G27" s="145"/>
      <c r="H27" s="137" t="str">
        <f>IF(Eingabe!C76="","",Eingabe!C76)</f>
        <v/>
      </c>
      <c r="I27" s="137"/>
      <c r="J27" s="137"/>
      <c r="K27" s="137"/>
      <c r="L27" s="232" t="str">
        <f>IF(Eingabe!D76="","",Eingabe!D76)</f>
        <v/>
      </c>
      <c r="M27" s="232"/>
      <c r="N27" s="232"/>
      <c r="O27" s="232"/>
      <c r="P27" s="232"/>
      <c r="Q27" s="232"/>
      <c r="R27" s="232"/>
      <c r="S27" s="232"/>
      <c r="T27" s="232"/>
      <c r="U27" s="232"/>
      <c r="V27" s="232"/>
      <c r="W27" s="232"/>
      <c r="X27" s="232"/>
      <c r="Y27" s="232"/>
      <c r="Z27" s="232"/>
      <c r="AA27" s="232"/>
      <c r="AB27" s="232"/>
      <c r="AC27" s="232"/>
      <c r="AD27" s="232"/>
      <c r="AE27" s="232"/>
      <c r="AF27" s="232"/>
      <c r="AG27" s="232"/>
      <c r="AH27" s="251" t="str">
        <f>IF(Eingabe!F76&amp;Eingabe!G76="","",Eingabe!F76&amp;"  /  "&amp;Eingabe!G76)</f>
        <v/>
      </c>
      <c r="AI27" s="251"/>
      <c r="AJ27" s="251"/>
      <c r="AK27" s="251"/>
      <c r="AL27" s="251"/>
      <c r="AM27" s="251"/>
      <c r="AN27" s="251"/>
      <c r="AO27" s="251"/>
      <c r="AP27" s="251"/>
      <c r="AQ27" s="251"/>
      <c r="AR27" s="251"/>
      <c r="AS27" s="251"/>
      <c r="AT27" s="251"/>
      <c r="AU27" s="251"/>
      <c r="AV27" s="251"/>
      <c r="AW27" s="251"/>
      <c r="AX27" s="251"/>
      <c r="AY27" s="251"/>
      <c r="AZ27" s="251"/>
      <c r="BA27" s="251"/>
      <c r="BB27" s="251"/>
      <c r="BC27" s="251"/>
      <c r="BD27" s="251"/>
      <c r="BE27" s="246" t="str">
        <f>IF(Eingabe!I76="","",Eingabe!I76)</f>
        <v/>
      </c>
      <c r="BF27" s="246"/>
      <c r="BG27" s="246"/>
      <c r="BH27" s="246"/>
      <c r="BI27" s="246"/>
      <c r="BJ27" s="246" t="str">
        <f>IF(Eingabe!I76="","",Eingabe!I76*Eingabe!B76)</f>
        <v/>
      </c>
      <c r="BK27" s="246"/>
      <c r="BL27" s="246"/>
      <c r="BM27" s="246"/>
      <c r="BN27" s="247"/>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22" t="str">
        <f>IF(Eingabe!A77="","",Eingabe!A77)</f>
        <v/>
      </c>
      <c r="B28" s="145"/>
      <c r="C28" s="145"/>
      <c r="D28" s="145" t="str">
        <f>IF(Eingabe!B77="","",Eingabe!B77)</f>
        <v/>
      </c>
      <c r="E28" s="145"/>
      <c r="F28" s="145"/>
      <c r="G28" s="145"/>
      <c r="H28" s="137" t="str">
        <f>IF(Eingabe!C77="","",Eingabe!C77)</f>
        <v/>
      </c>
      <c r="I28" s="137"/>
      <c r="J28" s="137"/>
      <c r="K28" s="137"/>
      <c r="L28" s="232" t="str">
        <f>IF(Eingabe!D77="","",Eingabe!D77)</f>
        <v/>
      </c>
      <c r="M28" s="232"/>
      <c r="N28" s="232"/>
      <c r="O28" s="232"/>
      <c r="P28" s="232"/>
      <c r="Q28" s="232"/>
      <c r="R28" s="232"/>
      <c r="S28" s="232"/>
      <c r="T28" s="232"/>
      <c r="U28" s="232"/>
      <c r="V28" s="232"/>
      <c r="W28" s="232"/>
      <c r="X28" s="232"/>
      <c r="Y28" s="232"/>
      <c r="Z28" s="232"/>
      <c r="AA28" s="232"/>
      <c r="AB28" s="232"/>
      <c r="AC28" s="232"/>
      <c r="AD28" s="232"/>
      <c r="AE28" s="232"/>
      <c r="AF28" s="232"/>
      <c r="AG28" s="232"/>
      <c r="AH28" s="251" t="str">
        <f>IF(Eingabe!F77&amp;Eingabe!G77="","",Eingabe!F77&amp;"  /  "&amp;Eingabe!G77)</f>
        <v/>
      </c>
      <c r="AI28" s="251"/>
      <c r="AJ28" s="251"/>
      <c r="AK28" s="251"/>
      <c r="AL28" s="251"/>
      <c r="AM28" s="251"/>
      <c r="AN28" s="251"/>
      <c r="AO28" s="251"/>
      <c r="AP28" s="251"/>
      <c r="AQ28" s="251"/>
      <c r="AR28" s="251"/>
      <c r="AS28" s="251"/>
      <c r="AT28" s="251"/>
      <c r="AU28" s="251"/>
      <c r="AV28" s="251"/>
      <c r="AW28" s="251"/>
      <c r="AX28" s="251"/>
      <c r="AY28" s="251"/>
      <c r="AZ28" s="251"/>
      <c r="BA28" s="251"/>
      <c r="BB28" s="251"/>
      <c r="BC28" s="251"/>
      <c r="BD28" s="251"/>
      <c r="BE28" s="246" t="str">
        <f>IF(Eingabe!I77="","",Eingabe!I77)</f>
        <v/>
      </c>
      <c r="BF28" s="246"/>
      <c r="BG28" s="246"/>
      <c r="BH28" s="246"/>
      <c r="BI28" s="246"/>
      <c r="BJ28" s="246" t="str">
        <f>IF(Eingabe!I77="","",Eingabe!I77*Eingabe!B77)</f>
        <v/>
      </c>
      <c r="BK28" s="246"/>
      <c r="BL28" s="246"/>
      <c r="BM28" s="246"/>
      <c r="BN28" s="247"/>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22" t="str">
        <f>IF(Eingabe!A78="","",Eingabe!A78)</f>
        <v/>
      </c>
      <c r="B29" s="145"/>
      <c r="C29" s="145"/>
      <c r="D29" s="145" t="str">
        <f>IF(Eingabe!B78="","",Eingabe!B78)</f>
        <v/>
      </c>
      <c r="E29" s="145"/>
      <c r="F29" s="145"/>
      <c r="G29" s="145"/>
      <c r="H29" s="137" t="str">
        <f>IF(Eingabe!C78="","",Eingabe!C78)</f>
        <v/>
      </c>
      <c r="I29" s="137"/>
      <c r="J29" s="137"/>
      <c r="K29" s="137"/>
      <c r="L29" s="232" t="str">
        <f>IF(Eingabe!D78="","",Eingabe!D78)</f>
        <v/>
      </c>
      <c r="M29" s="232"/>
      <c r="N29" s="232"/>
      <c r="O29" s="232"/>
      <c r="P29" s="232"/>
      <c r="Q29" s="232"/>
      <c r="R29" s="232"/>
      <c r="S29" s="232"/>
      <c r="T29" s="232"/>
      <c r="U29" s="232"/>
      <c r="V29" s="232"/>
      <c r="W29" s="232"/>
      <c r="X29" s="232"/>
      <c r="Y29" s="232"/>
      <c r="Z29" s="232"/>
      <c r="AA29" s="232"/>
      <c r="AB29" s="232"/>
      <c r="AC29" s="232"/>
      <c r="AD29" s="232"/>
      <c r="AE29" s="232"/>
      <c r="AF29" s="232"/>
      <c r="AG29" s="232"/>
      <c r="AH29" s="251" t="str">
        <f>IF(Eingabe!F78&amp;Eingabe!G78="","",Eingabe!F78&amp;"  /  "&amp;Eingabe!G78)</f>
        <v/>
      </c>
      <c r="AI29" s="251"/>
      <c r="AJ29" s="251"/>
      <c r="AK29" s="251"/>
      <c r="AL29" s="251"/>
      <c r="AM29" s="251"/>
      <c r="AN29" s="251"/>
      <c r="AO29" s="251"/>
      <c r="AP29" s="251"/>
      <c r="AQ29" s="251"/>
      <c r="AR29" s="251"/>
      <c r="AS29" s="251"/>
      <c r="AT29" s="251"/>
      <c r="AU29" s="251"/>
      <c r="AV29" s="251"/>
      <c r="AW29" s="251"/>
      <c r="AX29" s="251"/>
      <c r="AY29" s="251"/>
      <c r="AZ29" s="251"/>
      <c r="BA29" s="251"/>
      <c r="BB29" s="251"/>
      <c r="BC29" s="251"/>
      <c r="BD29" s="251"/>
      <c r="BE29" s="246" t="str">
        <f>IF(Eingabe!I78="","",Eingabe!I78)</f>
        <v/>
      </c>
      <c r="BF29" s="246"/>
      <c r="BG29" s="246"/>
      <c r="BH29" s="246"/>
      <c r="BI29" s="246"/>
      <c r="BJ29" s="246" t="str">
        <f>IF(Eingabe!I78="","",Eingabe!I78*Eingabe!B78)</f>
        <v/>
      </c>
      <c r="BK29" s="246"/>
      <c r="BL29" s="246"/>
      <c r="BM29" s="246"/>
      <c r="BN29" s="247"/>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22" t="str">
        <f>IF(Eingabe!A79="","",Eingabe!A79)</f>
        <v/>
      </c>
      <c r="B30" s="145"/>
      <c r="C30" s="145"/>
      <c r="D30" s="145" t="str">
        <f>IF(Eingabe!B79="","",Eingabe!B79)</f>
        <v/>
      </c>
      <c r="E30" s="145"/>
      <c r="F30" s="145"/>
      <c r="G30" s="145"/>
      <c r="H30" s="137" t="str">
        <f>IF(Eingabe!C79="","",Eingabe!C79)</f>
        <v/>
      </c>
      <c r="I30" s="137"/>
      <c r="J30" s="137"/>
      <c r="K30" s="137"/>
      <c r="L30" s="232" t="str">
        <f>IF(Eingabe!D79="","",Eingabe!D79)</f>
        <v/>
      </c>
      <c r="M30" s="232"/>
      <c r="N30" s="232"/>
      <c r="O30" s="232"/>
      <c r="P30" s="232"/>
      <c r="Q30" s="232"/>
      <c r="R30" s="232"/>
      <c r="S30" s="232"/>
      <c r="T30" s="232"/>
      <c r="U30" s="232"/>
      <c r="V30" s="232"/>
      <c r="W30" s="232"/>
      <c r="X30" s="232"/>
      <c r="Y30" s="232"/>
      <c r="Z30" s="232"/>
      <c r="AA30" s="232"/>
      <c r="AB30" s="232"/>
      <c r="AC30" s="232"/>
      <c r="AD30" s="232"/>
      <c r="AE30" s="232"/>
      <c r="AF30" s="232"/>
      <c r="AG30" s="232"/>
      <c r="AH30" s="251" t="str">
        <f>IF(Eingabe!F79&amp;Eingabe!G79="","",Eingabe!F79&amp;"  /  "&amp;Eingabe!G79)</f>
        <v/>
      </c>
      <c r="AI30" s="251"/>
      <c r="AJ30" s="251"/>
      <c r="AK30" s="251"/>
      <c r="AL30" s="251"/>
      <c r="AM30" s="251"/>
      <c r="AN30" s="251"/>
      <c r="AO30" s="251"/>
      <c r="AP30" s="251"/>
      <c r="AQ30" s="251"/>
      <c r="AR30" s="251"/>
      <c r="AS30" s="251"/>
      <c r="AT30" s="251"/>
      <c r="AU30" s="251"/>
      <c r="AV30" s="251"/>
      <c r="AW30" s="251"/>
      <c r="AX30" s="251"/>
      <c r="AY30" s="251"/>
      <c r="AZ30" s="251"/>
      <c r="BA30" s="251"/>
      <c r="BB30" s="251"/>
      <c r="BC30" s="251"/>
      <c r="BD30" s="251"/>
      <c r="BE30" s="246" t="str">
        <f>IF(Eingabe!I79="","",Eingabe!I79)</f>
        <v/>
      </c>
      <c r="BF30" s="246"/>
      <c r="BG30" s="246"/>
      <c r="BH30" s="246"/>
      <c r="BI30" s="246"/>
      <c r="BJ30" s="246" t="str">
        <f>IF(Eingabe!I79="","",Eingabe!I79*Eingabe!B79)</f>
        <v/>
      </c>
      <c r="BK30" s="246"/>
      <c r="BL30" s="246"/>
      <c r="BM30" s="246"/>
      <c r="BN30" s="247"/>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22" t="str">
        <f>IF(Eingabe!A80="","",Eingabe!A80)</f>
        <v/>
      </c>
      <c r="B31" s="145"/>
      <c r="C31" s="145"/>
      <c r="D31" s="145" t="str">
        <f>IF(Eingabe!B80="","",Eingabe!B80)</f>
        <v/>
      </c>
      <c r="E31" s="145"/>
      <c r="F31" s="145"/>
      <c r="G31" s="145"/>
      <c r="H31" s="137" t="str">
        <f>IF(Eingabe!C80="","",Eingabe!C80)</f>
        <v/>
      </c>
      <c r="I31" s="137"/>
      <c r="J31" s="137"/>
      <c r="K31" s="137"/>
      <c r="L31" s="232" t="str">
        <f>IF(Eingabe!D80="","",Eingabe!D80)</f>
        <v/>
      </c>
      <c r="M31" s="232"/>
      <c r="N31" s="232"/>
      <c r="O31" s="232"/>
      <c r="P31" s="232"/>
      <c r="Q31" s="232"/>
      <c r="R31" s="232"/>
      <c r="S31" s="232"/>
      <c r="T31" s="232"/>
      <c r="U31" s="232"/>
      <c r="V31" s="232"/>
      <c r="W31" s="232"/>
      <c r="X31" s="232"/>
      <c r="Y31" s="232"/>
      <c r="Z31" s="232"/>
      <c r="AA31" s="232"/>
      <c r="AB31" s="232"/>
      <c r="AC31" s="232"/>
      <c r="AD31" s="232"/>
      <c r="AE31" s="232"/>
      <c r="AF31" s="232"/>
      <c r="AG31" s="232"/>
      <c r="AH31" s="251" t="str">
        <f>IF(Eingabe!F80&amp;Eingabe!G80="","",Eingabe!F80&amp;"  /  "&amp;Eingabe!G80)</f>
        <v/>
      </c>
      <c r="AI31" s="251"/>
      <c r="AJ31" s="251"/>
      <c r="AK31" s="251"/>
      <c r="AL31" s="251"/>
      <c r="AM31" s="251"/>
      <c r="AN31" s="251"/>
      <c r="AO31" s="251"/>
      <c r="AP31" s="251"/>
      <c r="AQ31" s="251"/>
      <c r="AR31" s="251"/>
      <c r="AS31" s="251"/>
      <c r="AT31" s="251"/>
      <c r="AU31" s="251"/>
      <c r="AV31" s="251"/>
      <c r="AW31" s="251"/>
      <c r="AX31" s="251"/>
      <c r="AY31" s="251"/>
      <c r="AZ31" s="251"/>
      <c r="BA31" s="251"/>
      <c r="BB31" s="251"/>
      <c r="BC31" s="251"/>
      <c r="BD31" s="251"/>
      <c r="BE31" s="246" t="str">
        <f>IF(Eingabe!I80="","",Eingabe!I80)</f>
        <v/>
      </c>
      <c r="BF31" s="246"/>
      <c r="BG31" s="246"/>
      <c r="BH31" s="246"/>
      <c r="BI31" s="246"/>
      <c r="BJ31" s="246" t="str">
        <f>IF(Eingabe!I80="","",Eingabe!I80*Eingabe!B80)</f>
        <v/>
      </c>
      <c r="BK31" s="246"/>
      <c r="BL31" s="246"/>
      <c r="BM31" s="246"/>
      <c r="BN31" s="247"/>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22" t="str">
        <f>IF(Eingabe!A81="","",Eingabe!A81)</f>
        <v/>
      </c>
      <c r="B32" s="145"/>
      <c r="C32" s="145"/>
      <c r="D32" s="145" t="str">
        <f>IF(Eingabe!B81="","",Eingabe!B81)</f>
        <v/>
      </c>
      <c r="E32" s="145"/>
      <c r="F32" s="145"/>
      <c r="G32" s="145"/>
      <c r="H32" s="137" t="str">
        <f>IF(Eingabe!C81="","",Eingabe!C81)</f>
        <v/>
      </c>
      <c r="I32" s="137"/>
      <c r="J32" s="137"/>
      <c r="K32" s="137"/>
      <c r="L32" s="232" t="str">
        <f>IF(Eingabe!D81="","",Eingabe!D81)</f>
        <v/>
      </c>
      <c r="M32" s="232"/>
      <c r="N32" s="232"/>
      <c r="O32" s="232"/>
      <c r="P32" s="232"/>
      <c r="Q32" s="232"/>
      <c r="R32" s="232"/>
      <c r="S32" s="232"/>
      <c r="T32" s="232"/>
      <c r="U32" s="232"/>
      <c r="V32" s="232"/>
      <c r="W32" s="232"/>
      <c r="X32" s="232"/>
      <c r="Y32" s="232"/>
      <c r="Z32" s="232"/>
      <c r="AA32" s="232"/>
      <c r="AB32" s="232"/>
      <c r="AC32" s="232"/>
      <c r="AD32" s="232"/>
      <c r="AE32" s="232"/>
      <c r="AF32" s="232"/>
      <c r="AG32" s="232"/>
      <c r="AH32" s="251" t="str">
        <f>IF(Eingabe!F81&amp;Eingabe!G81="","",Eingabe!F81&amp;"  /  "&amp;Eingabe!G81)</f>
        <v/>
      </c>
      <c r="AI32" s="251"/>
      <c r="AJ32" s="251"/>
      <c r="AK32" s="251"/>
      <c r="AL32" s="251"/>
      <c r="AM32" s="251"/>
      <c r="AN32" s="251"/>
      <c r="AO32" s="251"/>
      <c r="AP32" s="251"/>
      <c r="AQ32" s="251"/>
      <c r="AR32" s="251"/>
      <c r="AS32" s="251"/>
      <c r="AT32" s="251"/>
      <c r="AU32" s="251"/>
      <c r="AV32" s="251"/>
      <c r="AW32" s="251"/>
      <c r="AX32" s="251"/>
      <c r="AY32" s="251"/>
      <c r="AZ32" s="251"/>
      <c r="BA32" s="251"/>
      <c r="BB32" s="251"/>
      <c r="BC32" s="251"/>
      <c r="BD32" s="251"/>
      <c r="BE32" s="246" t="str">
        <f>IF(Eingabe!I81="","",Eingabe!I81)</f>
        <v/>
      </c>
      <c r="BF32" s="246"/>
      <c r="BG32" s="246"/>
      <c r="BH32" s="246"/>
      <c r="BI32" s="246"/>
      <c r="BJ32" s="246" t="str">
        <f>IF(Eingabe!I81="","",Eingabe!I81*Eingabe!B81)</f>
        <v/>
      </c>
      <c r="BK32" s="246"/>
      <c r="BL32" s="246"/>
      <c r="BM32" s="246"/>
      <c r="BN32" s="247"/>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22" t="str">
        <f>IF(Eingabe!A82="","",Eingabe!A82)</f>
        <v/>
      </c>
      <c r="B33" s="145"/>
      <c r="C33" s="145"/>
      <c r="D33" s="145" t="str">
        <f>IF(Eingabe!B82="","",Eingabe!B82)</f>
        <v/>
      </c>
      <c r="E33" s="145"/>
      <c r="F33" s="145"/>
      <c r="G33" s="145"/>
      <c r="H33" s="137" t="str">
        <f>IF(Eingabe!C82="","",Eingabe!C82)</f>
        <v/>
      </c>
      <c r="I33" s="137"/>
      <c r="J33" s="137"/>
      <c r="K33" s="137"/>
      <c r="L33" s="232" t="str">
        <f>IF(Eingabe!D82="","",Eingabe!D82)</f>
        <v/>
      </c>
      <c r="M33" s="232"/>
      <c r="N33" s="232"/>
      <c r="O33" s="232"/>
      <c r="P33" s="232"/>
      <c r="Q33" s="232"/>
      <c r="R33" s="232"/>
      <c r="S33" s="232"/>
      <c r="T33" s="232"/>
      <c r="U33" s="232"/>
      <c r="V33" s="232"/>
      <c r="W33" s="232"/>
      <c r="X33" s="232"/>
      <c r="Y33" s="232"/>
      <c r="Z33" s="232"/>
      <c r="AA33" s="232"/>
      <c r="AB33" s="232"/>
      <c r="AC33" s="232"/>
      <c r="AD33" s="232"/>
      <c r="AE33" s="232"/>
      <c r="AF33" s="232"/>
      <c r="AG33" s="232"/>
      <c r="AH33" s="251" t="str">
        <f>IF(Eingabe!F82&amp;Eingabe!G82="","",Eingabe!F82&amp;"  /  "&amp;Eingabe!G82)</f>
        <v/>
      </c>
      <c r="AI33" s="251"/>
      <c r="AJ33" s="251"/>
      <c r="AK33" s="251"/>
      <c r="AL33" s="251"/>
      <c r="AM33" s="251"/>
      <c r="AN33" s="251"/>
      <c r="AO33" s="251"/>
      <c r="AP33" s="251"/>
      <c r="AQ33" s="251"/>
      <c r="AR33" s="251"/>
      <c r="AS33" s="251"/>
      <c r="AT33" s="251"/>
      <c r="AU33" s="251"/>
      <c r="AV33" s="251"/>
      <c r="AW33" s="251"/>
      <c r="AX33" s="251"/>
      <c r="AY33" s="251"/>
      <c r="AZ33" s="251"/>
      <c r="BA33" s="251"/>
      <c r="BB33" s="251"/>
      <c r="BC33" s="251"/>
      <c r="BD33" s="251"/>
      <c r="BE33" s="246" t="str">
        <f>IF(Eingabe!I82="","",Eingabe!I82)</f>
        <v/>
      </c>
      <c r="BF33" s="246"/>
      <c r="BG33" s="246"/>
      <c r="BH33" s="246"/>
      <c r="BI33" s="246"/>
      <c r="BJ33" s="246" t="str">
        <f>IF(Eingabe!I82="","",Eingabe!I82*Eingabe!B82)</f>
        <v/>
      </c>
      <c r="BK33" s="246"/>
      <c r="BL33" s="246"/>
      <c r="BM33" s="246"/>
      <c r="BN33" s="247"/>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22" t="str">
        <f>IF(Eingabe!A83="","",Eingabe!A83)</f>
        <v/>
      </c>
      <c r="B34" s="145"/>
      <c r="C34" s="145"/>
      <c r="D34" s="145" t="str">
        <f>IF(Eingabe!B83="","",Eingabe!B83)</f>
        <v/>
      </c>
      <c r="E34" s="145"/>
      <c r="F34" s="145"/>
      <c r="G34" s="145"/>
      <c r="H34" s="137" t="str">
        <f>IF(Eingabe!C83="","",Eingabe!C83)</f>
        <v/>
      </c>
      <c r="I34" s="137"/>
      <c r="J34" s="137"/>
      <c r="K34" s="137"/>
      <c r="L34" s="232" t="str">
        <f>IF(Eingabe!D83="","",Eingabe!D83)</f>
        <v/>
      </c>
      <c r="M34" s="232"/>
      <c r="N34" s="232"/>
      <c r="O34" s="232"/>
      <c r="P34" s="232"/>
      <c r="Q34" s="232"/>
      <c r="R34" s="232"/>
      <c r="S34" s="232"/>
      <c r="T34" s="232"/>
      <c r="U34" s="232"/>
      <c r="V34" s="232"/>
      <c r="W34" s="232"/>
      <c r="X34" s="232"/>
      <c r="Y34" s="232"/>
      <c r="Z34" s="232"/>
      <c r="AA34" s="232"/>
      <c r="AB34" s="232"/>
      <c r="AC34" s="232"/>
      <c r="AD34" s="232"/>
      <c r="AE34" s="232"/>
      <c r="AF34" s="232"/>
      <c r="AG34" s="232"/>
      <c r="AH34" s="251" t="str">
        <f>IF(Eingabe!F83&amp;Eingabe!G83="","",Eingabe!F83&amp;"  /  "&amp;Eingabe!G83)</f>
        <v/>
      </c>
      <c r="AI34" s="251"/>
      <c r="AJ34" s="251"/>
      <c r="AK34" s="251"/>
      <c r="AL34" s="251"/>
      <c r="AM34" s="251"/>
      <c r="AN34" s="251"/>
      <c r="AO34" s="251"/>
      <c r="AP34" s="251"/>
      <c r="AQ34" s="251"/>
      <c r="AR34" s="251"/>
      <c r="AS34" s="251"/>
      <c r="AT34" s="251"/>
      <c r="AU34" s="251"/>
      <c r="AV34" s="251"/>
      <c r="AW34" s="251"/>
      <c r="AX34" s="251"/>
      <c r="AY34" s="251"/>
      <c r="AZ34" s="251"/>
      <c r="BA34" s="251"/>
      <c r="BB34" s="251"/>
      <c r="BC34" s="251"/>
      <c r="BD34" s="251"/>
      <c r="BE34" s="246" t="str">
        <f>IF(Eingabe!I83="","",Eingabe!I83)</f>
        <v/>
      </c>
      <c r="BF34" s="246"/>
      <c r="BG34" s="246"/>
      <c r="BH34" s="246"/>
      <c r="BI34" s="246"/>
      <c r="BJ34" s="246" t="str">
        <f>IF(Eingabe!I83="","",Eingabe!I83*Eingabe!B83)</f>
        <v/>
      </c>
      <c r="BK34" s="246"/>
      <c r="BL34" s="246"/>
      <c r="BM34" s="246"/>
      <c r="BN34" s="247"/>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22" t="str">
        <f>IF(Eingabe!A84="","",Eingabe!A84)</f>
        <v/>
      </c>
      <c r="B35" s="145"/>
      <c r="C35" s="145"/>
      <c r="D35" s="145" t="str">
        <f>IF(Eingabe!B84="","",Eingabe!B84)</f>
        <v/>
      </c>
      <c r="E35" s="145"/>
      <c r="F35" s="145"/>
      <c r="G35" s="145"/>
      <c r="H35" s="137" t="str">
        <f>IF(Eingabe!C84="","",Eingabe!C84)</f>
        <v/>
      </c>
      <c r="I35" s="137"/>
      <c r="J35" s="137"/>
      <c r="K35" s="137"/>
      <c r="L35" s="232" t="str">
        <f>IF(Eingabe!D84="","",Eingabe!D84)</f>
        <v/>
      </c>
      <c r="M35" s="232"/>
      <c r="N35" s="232"/>
      <c r="O35" s="232"/>
      <c r="P35" s="232"/>
      <c r="Q35" s="232"/>
      <c r="R35" s="232"/>
      <c r="S35" s="232"/>
      <c r="T35" s="232"/>
      <c r="U35" s="232"/>
      <c r="V35" s="232"/>
      <c r="W35" s="232"/>
      <c r="X35" s="232"/>
      <c r="Y35" s="232"/>
      <c r="Z35" s="232"/>
      <c r="AA35" s="232"/>
      <c r="AB35" s="232"/>
      <c r="AC35" s="232"/>
      <c r="AD35" s="232"/>
      <c r="AE35" s="232"/>
      <c r="AF35" s="232"/>
      <c r="AG35" s="232"/>
      <c r="AH35" s="251" t="str">
        <f>IF(Eingabe!F84&amp;Eingabe!G84="","",Eingabe!F84&amp;"  /  "&amp;Eingabe!G84)</f>
        <v/>
      </c>
      <c r="AI35" s="251"/>
      <c r="AJ35" s="251"/>
      <c r="AK35" s="251"/>
      <c r="AL35" s="251"/>
      <c r="AM35" s="251"/>
      <c r="AN35" s="251"/>
      <c r="AO35" s="251"/>
      <c r="AP35" s="251"/>
      <c r="AQ35" s="251"/>
      <c r="AR35" s="251"/>
      <c r="AS35" s="251"/>
      <c r="AT35" s="251"/>
      <c r="AU35" s="251"/>
      <c r="AV35" s="251"/>
      <c r="AW35" s="251"/>
      <c r="AX35" s="251"/>
      <c r="AY35" s="251"/>
      <c r="AZ35" s="251"/>
      <c r="BA35" s="251"/>
      <c r="BB35" s="251"/>
      <c r="BC35" s="251"/>
      <c r="BD35" s="251"/>
      <c r="BE35" s="246" t="str">
        <f>IF(Eingabe!I84="","",Eingabe!I84)</f>
        <v/>
      </c>
      <c r="BF35" s="246"/>
      <c r="BG35" s="246"/>
      <c r="BH35" s="246"/>
      <c r="BI35" s="246"/>
      <c r="BJ35" s="246" t="str">
        <f>IF(Eingabe!I84="","",Eingabe!I84*Eingabe!B84)</f>
        <v/>
      </c>
      <c r="BK35" s="246"/>
      <c r="BL35" s="246"/>
      <c r="BM35" s="246"/>
      <c r="BN35" s="247"/>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22" t="str">
        <f>IF(Eingabe!A85="","",Eingabe!A85)</f>
        <v/>
      </c>
      <c r="B36" s="145"/>
      <c r="C36" s="145"/>
      <c r="D36" s="145" t="str">
        <f>IF(Eingabe!B85="","",Eingabe!B85)</f>
        <v/>
      </c>
      <c r="E36" s="145"/>
      <c r="F36" s="145"/>
      <c r="G36" s="145"/>
      <c r="H36" s="137" t="str">
        <f>IF(Eingabe!C85="","",Eingabe!C85)</f>
        <v/>
      </c>
      <c r="I36" s="137"/>
      <c r="J36" s="137"/>
      <c r="K36" s="137"/>
      <c r="L36" s="232" t="str">
        <f>IF(Eingabe!D85="","",Eingabe!D85)</f>
        <v/>
      </c>
      <c r="M36" s="232"/>
      <c r="N36" s="232"/>
      <c r="O36" s="232"/>
      <c r="P36" s="232"/>
      <c r="Q36" s="232"/>
      <c r="R36" s="232"/>
      <c r="S36" s="232"/>
      <c r="T36" s="232"/>
      <c r="U36" s="232"/>
      <c r="V36" s="232"/>
      <c r="W36" s="232"/>
      <c r="X36" s="232"/>
      <c r="Y36" s="232"/>
      <c r="Z36" s="232"/>
      <c r="AA36" s="232"/>
      <c r="AB36" s="232"/>
      <c r="AC36" s="232"/>
      <c r="AD36" s="232"/>
      <c r="AE36" s="232"/>
      <c r="AF36" s="232"/>
      <c r="AG36" s="232"/>
      <c r="AH36" s="251" t="str">
        <f>IF(Eingabe!F85&amp;Eingabe!G85="","",Eingabe!F85&amp;"  /  "&amp;Eingabe!G85)</f>
        <v/>
      </c>
      <c r="AI36" s="251"/>
      <c r="AJ36" s="251"/>
      <c r="AK36" s="251"/>
      <c r="AL36" s="251"/>
      <c r="AM36" s="251"/>
      <c r="AN36" s="251"/>
      <c r="AO36" s="251"/>
      <c r="AP36" s="251"/>
      <c r="AQ36" s="251"/>
      <c r="AR36" s="251"/>
      <c r="AS36" s="251"/>
      <c r="AT36" s="251"/>
      <c r="AU36" s="251"/>
      <c r="AV36" s="251"/>
      <c r="AW36" s="251"/>
      <c r="AX36" s="251"/>
      <c r="AY36" s="251"/>
      <c r="AZ36" s="251"/>
      <c r="BA36" s="251"/>
      <c r="BB36" s="251"/>
      <c r="BC36" s="251"/>
      <c r="BD36" s="251"/>
      <c r="BE36" s="246" t="str">
        <f>IF(Eingabe!I85="","",Eingabe!I85)</f>
        <v/>
      </c>
      <c r="BF36" s="246"/>
      <c r="BG36" s="246"/>
      <c r="BH36" s="246"/>
      <c r="BI36" s="246"/>
      <c r="BJ36" s="246" t="str">
        <f>IF(Eingabe!I85="","",Eingabe!I85*Eingabe!B85)</f>
        <v/>
      </c>
      <c r="BK36" s="246"/>
      <c r="BL36" s="246"/>
      <c r="BM36" s="246"/>
      <c r="BN36" s="247"/>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22" t="str">
        <f>IF(Eingabe!A86="","",Eingabe!A86)</f>
        <v/>
      </c>
      <c r="B37" s="145"/>
      <c r="C37" s="145"/>
      <c r="D37" s="145" t="str">
        <f>IF(Eingabe!B86="","",Eingabe!B86)</f>
        <v/>
      </c>
      <c r="E37" s="145"/>
      <c r="F37" s="145"/>
      <c r="G37" s="145"/>
      <c r="H37" s="137" t="str">
        <f>IF(Eingabe!C86="","",Eingabe!C86)</f>
        <v/>
      </c>
      <c r="I37" s="137"/>
      <c r="J37" s="137"/>
      <c r="K37" s="137"/>
      <c r="L37" s="232" t="str">
        <f>IF(Eingabe!D86="","",Eingabe!D86)</f>
        <v/>
      </c>
      <c r="M37" s="232"/>
      <c r="N37" s="232"/>
      <c r="O37" s="232"/>
      <c r="P37" s="232"/>
      <c r="Q37" s="232"/>
      <c r="R37" s="232"/>
      <c r="S37" s="232"/>
      <c r="T37" s="232"/>
      <c r="U37" s="232"/>
      <c r="V37" s="232"/>
      <c r="W37" s="232"/>
      <c r="X37" s="232"/>
      <c r="Y37" s="232"/>
      <c r="Z37" s="232"/>
      <c r="AA37" s="232"/>
      <c r="AB37" s="232"/>
      <c r="AC37" s="232"/>
      <c r="AD37" s="232"/>
      <c r="AE37" s="232"/>
      <c r="AF37" s="232"/>
      <c r="AG37" s="232"/>
      <c r="AH37" s="251" t="str">
        <f>IF(Eingabe!F86&amp;Eingabe!G86="","",Eingabe!F86&amp;"  /  "&amp;Eingabe!G86)</f>
        <v/>
      </c>
      <c r="AI37" s="251"/>
      <c r="AJ37" s="251"/>
      <c r="AK37" s="251"/>
      <c r="AL37" s="251"/>
      <c r="AM37" s="251"/>
      <c r="AN37" s="251"/>
      <c r="AO37" s="251"/>
      <c r="AP37" s="251"/>
      <c r="AQ37" s="251"/>
      <c r="AR37" s="251"/>
      <c r="AS37" s="251"/>
      <c r="AT37" s="251"/>
      <c r="AU37" s="251"/>
      <c r="AV37" s="251"/>
      <c r="AW37" s="251"/>
      <c r="AX37" s="251"/>
      <c r="AY37" s="251"/>
      <c r="AZ37" s="251"/>
      <c r="BA37" s="251"/>
      <c r="BB37" s="251"/>
      <c r="BC37" s="251"/>
      <c r="BD37" s="251"/>
      <c r="BE37" s="246" t="str">
        <f>IF(Eingabe!I86="","",Eingabe!I86)</f>
        <v/>
      </c>
      <c r="BF37" s="246"/>
      <c r="BG37" s="246"/>
      <c r="BH37" s="246"/>
      <c r="BI37" s="246"/>
      <c r="BJ37" s="246" t="str">
        <f>IF(Eingabe!I86="","",Eingabe!I86*Eingabe!B86)</f>
        <v/>
      </c>
      <c r="BK37" s="246"/>
      <c r="BL37" s="246"/>
      <c r="BM37" s="246"/>
      <c r="BN37" s="247"/>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22" t="str">
        <f>IF(Eingabe!A87="","",Eingabe!A87)</f>
        <v/>
      </c>
      <c r="B38" s="145"/>
      <c r="C38" s="145"/>
      <c r="D38" s="145" t="str">
        <f>IF(Eingabe!B87="","",Eingabe!B87)</f>
        <v/>
      </c>
      <c r="E38" s="145"/>
      <c r="F38" s="145"/>
      <c r="G38" s="145"/>
      <c r="H38" s="137" t="str">
        <f>IF(Eingabe!C87="","",Eingabe!C87)</f>
        <v/>
      </c>
      <c r="I38" s="137"/>
      <c r="J38" s="137"/>
      <c r="K38" s="137"/>
      <c r="L38" s="232" t="str">
        <f>IF(Eingabe!D87="","",Eingabe!D87)</f>
        <v/>
      </c>
      <c r="M38" s="232"/>
      <c r="N38" s="232"/>
      <c r="O38" s="232"/>
      <c r="P38" s="232"/>
      <c r="Q38" s="232"/>
      <c r="R38" s="232"/>
      <c r="S38" s="232"/>
      <c r="T38" s="232"/>
      <c r="U38" s="232"/>
      <c r="V38" s="232"/>
      <c r="W38" s="232"/>
      <c r="X38" s="232"/>
      <c r="Y38" s="232"/>
      <c r="Z38" s="232"/>
      <c r="AA38" s="232"/>
      <c r="AB38" s="232"/>
      <c r="AC38" s="232"/>
      <c r="AD38" s="232"/>
      <c r="AE38" s="232"/>
      <c r="AF38" s="232"/>
      <c r="AG38" s="232"/>
      <c r="AH38" s="251" t="str">
        <f>IF(Eingabe!F87&amp;Eingabe!G87="","",Eingabe!F87&amp;"  /  "&amp;Eingabe!G87)</f>
        <v/>
      </c>
      <c r="AI38" s="251"/>
      <c r="AJ38" s="251"/>
      <c r="AK38" s="251"/>
      <c r="AL38" s="251"/>
      <c r="AM38" s="251"/>
      <c r="AN38" s="251"/>
      <c r="AO38" s="251"/>
      <c r="AP38" s="251"/>
      <c r="AQ38" s="251"/>
      <c r="AR38" s="251"/>
      <c r="AS38" s="251"/>
      <c r="AT38" s="251"/>
      <c r="AU38" s="251"/>
      <c r="AV38" s="251"/>
      <c r="AW38" s="251"/>
      <c r="AX38" s="251"/>
      <c r="AY38" s="251"/>
      <c r="AZ38" s="251"/>
      <c r="BA38" s="251"/>
      <c r="BB38" s="251"/>
      <c r="BC38" s="251"/>
      <c r="BD38" s="251"/>
      <c r="BE38" s="246" t="str">
        <f>IF(Eingabe!I87="","",Eingabe!I87)</f>
        <v/>
      </c>
      <c r="BF38" s="246"/>
      <c r="BG38" s="246"/>
      <c r="BH38" s="246"/>
      <c r="BI38" s="246"/>
      <c r="BJ38" s="246" t="str">
        <f>IF(Eingabe!I87="","",Eingabe!I87*Eingabe!B87)</f>
        <v/>
      </c>
      <c r="BK38" s="246"/>
      <c r="BL38" s="246"/>
      <c r="BM38" s="246"/>
      <c r="BN38" s="247"/>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22" t="str">
        <f>IF(Eingabe!A88="","",Eingabe!A88)</f>
        <v/>
      </c>
      <c r="B39" s="145"/>
      <c r="C39" s="145"/>
      <c r="D39" s="145" t="str">
        <f>IF(Eingabe!B88="","",Eingabe!B88)</f>
        <v/>
      </c>
      <c r="E39" s="145"/>
      <c r="F39" s="145"/>
      <c r="G39" s="145"/>
      <c r="H39" s="137" t="str">
        <f>IF(Eingabe!C88="","",Eingabe!C88)</f>
        <v/>
      </c>
      <c r="I39" s="137"/>
      <c r="J39" s="137"/>
      <c r="K39" s="137"/>
      <c r="L39" s="232" t="str">
        <f>IF(Eingabe!D88="","",Eingabe!D88)</f>
        <v/>
      </c>
      <c r="M39" s="232"/>
      <c r="N39" s="232"/>
      <c r="O39" s="232"/>
      <c r="P39" s="232"/>
      <c r="Q39" s="232"/>
      <c r="R39" s="232"/>
      <c r="S39" s="232"/>
      <c r="T39" s="232"/>
      <c r="U39" s="232"/>
      <c r="V39" s="232"/>
      <c r="W39" s="232"/>
      <c r="X39" s="232"/>
      <c r="Y39" s="232"/>
      <c r="Z39" s="232"/>
      <c r="AA39" s="232"/>
      <c r="AB39" s="232"/>
      <c r="AC39" s="232"/>
      <c r="AD39" s="232"/>
      <c r="AE39" s="232"/>
      <c r="AF39" s="232"/>
      <c r="AG39" s="232"/>
      <c r="AH39" s="251" t="str">
        <f>IF(Eingabe!F88&amp;Eingabe!G88="","",Eingabe!F88&amp;"  /  "&amp;Eingabe!G88)</f>
        <v/>
      </c>
      <c r="AI39" s="251"/>
      <c r="AJ39" s="251"/>
      <c r="AK39" s="251"/>
      <c r="AL39" s="251"/>
      <c r="AM39" s="251"/>
      <c r="AN39" s="251"/>
      <c r="AO39" s="251"/>
      <c r="AP39" s="251"/>
      <c r="AQ39" s="251"/>
      <c r="AR39" s="251"/>
      <c r="AS39" s="251"/>
      <c r="AT39" s="251"/>
      <c r="AU39" s="251"/>
      <c r="AV39" s="251"/>
      <c r="AW39" s="251"/>
      <c r="AX39" s="251"/>
      <c r="AY39" s="251"/>
      <c r="AZ39" s="251"/>
      <c r="BA39" s="251"/>
      <c r="BB39" s="251"/>
      <c r="BC39" s="251"/>
      <c r="BD39" s="251"/>
      <c r="BE39" s="246" t="str">
        <f>IF(Eingabe!I88="","",Eingabe!I88)</f>
        <v/>
      </c>
      <c r="BF39" s="246"/>
      <c r="BG39" s="246"/>
      <c r="BH39" s="246"/>
      <c r="BI39" s="246"/>
      <c r="BJ39" s="246" t="str">
        <f>IF(Eingabe!I88="","",Eingabe!I88*Eingabe!B88)</f>
        <v/>
      </c>
      <c r="BK39" s="246"/>
      <c r="BL39" s="246"/>
      <c r="BM39" s="246"/>
      <c r="BN39" s="247"/>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22" t="str">
        <f>IF(Eingabe!A89="","",Eingabe!A89)</f>
        <v/>
      </c>
      <c r="B40" s="145"/>
      <c r="C40" s="145"/>
      <c r="D40" s="145" t="str">
        <f>IF(Eingabe!B89="","",Eingabe!B89)</f>
        <v/>
      </c>
      <c r="E40" s="145"/>
      <c r="F40" s="145"/>
      <c r="G40" s="145"/>
      <c r="H40" s="137" t="str">
        <f>IF(Eingabe!C89="","",Eingabe!C89)</f>
        <v/>
      </c>
      <c r="I40" s="137"/>
      <c r="J40" s="137"/>
      <c r="K40" s="137"/>
      <c r="L40" s="232" t="str">
        <f>IF(Eingabe!D89="","",Eingabe!D89)</f>
        <v/>
      </c>
      <c r="M40" s="232"/>
      <c r="N40" s="232"/>
      <c r="O40" s="232"/>
      <c r="P40" s="232"/>
      <c r="Q40" s="232"/>
      <c r="R40" s="232"/>
      <c r="S40" s="232"/>
      <c r="T40" s="232"/>
      <c r="U40" s="232"/>
      <c r="V40" s="232"/>
      <c r="W40" s="232"/>
      <c r="X40" s="232"/>
      <c r="Y40" s="232"/>
      <c r="Z40" s="232"/>
      <c r="AA40" s="232"/>
      <c r="AB40" s="232"/>
      <c r="AC40" s="232"/>
      <c r="AD40" s="232"/>
      <c r="AE40" s="232"/>
      <c r="AF40" s="232"/>
      <c r="AG40" s="232"/>
      <c r="AH40" s="251" t="str">
        <f>IF(Eingabe!F89&amp;Eingabe!G89="","",Eingabe!F89&amp;"  /  "&amp;Eingabe!G89)</f>
        <v/>
      </c>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46" t="str">
        <f>IF(Eingabe!I89="","",Eingabe!I89)</f>
        <v/>
      </c>
      <c r="BF40" s="246"/>
      <c r="BG40" s="246"/>
      <c r="BH40" s="246"/>
      <c r="BI40" s="246"/>
      <c r="BJ40" s="246" t="str">
        <f>IF(Eingabe!I89="","",Eingabe!I89*Eingabe!B89)</f>
        <v/>
      </c>
      <c r="BK40" s="246"/>
      <c r="BL40" s="246"/>
      <c r="BM40" s="246"/>
      <c r="BN40" s="247"/>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22" t="str">
        <f>IF(Eingabe!A90="","",Eingabe!A90)</f>
        <v/>
      </c>
      <c r="B41" s="145"/>
      <c r="C41" s="145"/>
      <c r="D41" s="145" t="str">
        <f>IF(Eingabe!B90="","",Eingabe!B90)</f>
        <v/>
      </c>
      <c r="E41" s="145"/>
      <c r="F41" s="145"/>
      <c r="G41" s="145"/>
      <c r="H41" s="137" t="str">
        <f>IF(Eingabe!C90="","",Eingabe!C90)</f>
        <v/>
      </c>
      <c r="I41" s="137"/>
      <c r="J41" s="137"/>
      <c r="K41" s="137"/>
      <c r="L41" s="232" t="str">
        <f>IF(Eingabe!D90="","",Eingabe!D90)</f>
        <v/>
      </c>
      <c r="M41" s="232"/>
      <c r="N41" s="232"/>
      <c r="O41" s="232"/>
      <c r="P41" s="232"/>
      <c r="Q41" s="232"/>
      <c r="R41" s="232"/>
      <c r="S41" s="232"/>
      <c r="T41" s="232"/>
      <c r="U41" s="232"/>
      <c r="V41" s="232"/>
      <c r="W41" s="232"/>
      <c r="X41" s="232"/>
      <c r="Y41" s="232"/>
      <c r="Z41" s="232"/>
      <c r="AA41" s="232"/>
      <c r="AB41" s="232"/>
      <c r="AC41" s="232"/>
      <c r="AD41" s="232"/>
      <c r="AE41" s="232"/>
      <c r="AF41" s="232"/>
      <c r="AG41" s="232"/>
      <c r="AH41" s="251" t="str">
        <f>IF(Eingabe!F90&amp;Eingabe!G90="","",Eingabe!F90&amp;"  /  "&amp;Eingabe!G90)</f>
        <v/>
      </c>
      <c r="AI41" s="251"/>
      <c r="AJ41" s="251"/>
      <c r="AK41" s="251"/>
      <c r="AL41" s="251"/>
      <c r="AM41" s="251"/>
      <c r="AN41" s="251"/>
      <c r="AO41" s="251"/>
      <c r="AP41" s="251"/>
      <c r="AQ41" s="251"/>
      <c r="AR41" s="251"/>
      <c r="AS41" s="251"/>
      <c r="AT41" s="251"/>
      <c r="AU41" s="251"/>
      <c r="AV41" s="251"/>
      <c r="AW41" s="251"/>
      <c r="AX41" s="251"/>
      <c r="AY41" s="251"/>
      <c r="AZ41" s="251"/>
      <c r="BA41" s="251"/>
      <c r="BB41" s="251"/>
      <c r="BC41" s="251"/>
      <c r="BD41" s="251"/>
      <c r="BE41" s="246" t="str">
        <f>IF(Eingabe!I90="","",Eingabe!I90)</f>
        <v/>
      </c>
      <c r="BF41" s="246"/>
      <c r="BG41" s="246"/>
      <c r="BH41" s="246"/>
      <c r="BI41" s="246"/>
      <c r="BJ41" s="246" t="str">
        <f>IF(Eingabe!I90="","",Eingabe!I90*Eingabe!B90)</f>
        <v/>
      </c>
      <c r="BK41" s="246"/>
      <c r="BL41" s="246"/>
      <c r="BM41" s="246"/>
      <c r="BN41" s="247"/>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22" t="str">
        <f>IF(Eingabe!A91="","",Eingabe!A91)</f>
        <v/>
      </c>
      <c r="B42" s="145"/>
      <c r="C42" s="145"/>
      <c r="D42" s="145" t="str">
        <f>IF(Eingabe!B91="","",Eingabe!B91)</f>
        <v/>
      </c>
      <c r="E42" s="145"/>
      <c r="F42" s="145"/>
      <c r="G42" s="145"/>
      <c r="H42" s="137" t="str">
        <f>IF(Eingabe!C91="","",Eingabe!C91)</f>
        <v/>
      </c>
      <c r="I42" s="137"/>
      <c r="J42" s="137"/>
      <c r="K42" s="137"/>
      <c r="L42" s="232" t="str">
        <f>IF(Eingabe!D91="","",Eingabe!D91)</f>
        <v/>
      </c>
      <c r="M42" s="232"/>
      <c r="N42" s="232"/>
      <c r="O42" s="232"/>
      <c r="P42" s="232"/>
      <c r="Q42" s="232"/>
      <c r="R42" s="232"/>
      <c r="S42" s="232"/>
      <c r="T42" s="232"/>
      <c r="U42" s="232"/>
      <c r="V42" s="232"/>
      <c r="W42" s="232"/>
      <c r="X42" s="232"/>
      <c r="Y42" s="232"/>
      <c r="Z42" s="232"/>
      <c r="AA42" s="232"/>
      <c r="AB42" s="232"/>
      <c r="AC42" s="232"/>
      <c r="AD42" s="232"/>
      <c r="AE42" s="232"/>
      <c r="AF42" s="232"/>
      <c r="AG42" s="232"/>
      <c r="AH42" s="251" t="str">
        <f>IF(Eingabe!F91&amp;Eingabe!G91="","",Eingabe!F91&amp;"  /  "&amp;Eingabe!G91)</f>
        <v/>
      </c>
      <c r="AI42" s="251"/>
      <c r="AJ42" s="251"/>
      <c r="AK42" s="251"/>
      <c r="AL42" s="251"/>
      <c r="AM42" s="251"/>
      <c r="AN42" s="251"/>
      <c r="AO42" s="251"/>
      <c r="AP42" s="251"/>
      <c r="AQ42" s="251"/>
      <c r="AR42" s="251"/>
      <c r="AS42" s="251"/>
      <c r="AT42" s="251"/>
      <c r="AU42" s="251"/>
      <c r="AV42" s="251"/>
      <c r="AW42" s="251"/>
      <c r="AX42" s="251"/>
      <c r="AY42" s="251"/>
      <c r="AZ42" s="251"/>
      <c r="BA42" s="251"/>
      <c r="BB42" s="251"/>
      <c r="BC42" s="251"/>
      <c r="BD42" s="251"/>
      <c r="BE42" s="246" t="str">
        <f>IF(Eingabe!I91="","",Eingabe!I91)</f>
        <v/>
      </c>
      <c r="BF42" s="246"/>
      <c r="BG42" s="246"/>
      <c r="BH42" s="246"/>
      <c r="BI42" s="246"/>
      <c r="BJ42" s="246" t="str">
        <f>IF(Eingabe!I91="","",Eingabe!I91*Eingabe!B91)</f>
        <v/>
      </c>
      <c r="BK42" s="246"/>
      <c r="BL42" s="246"/>
      <c r="BM42" s="246"/>
      <c r="BN42" s="247"/>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22" t="str">
        <f>IF(Eingabe!A92="","",Eingabe!A92)</f>
        <v/>
      </c>
      <c r="B43" s="145"/>
      <c r="C43" s="145"/>
      <c r="D43" s="145" t="str">
        <f>IF(Eingabe!B92="","",Eingabe!B92)</f>
        <v/>
      </c>
      <c r="E43" s="145"/>
      <c r="F43" s="145"/>
      <c r="G43" s="145"/>
      <c r="H43" s="137" t="str">
        <f>IF(Eingabe!C92="","",Eingabe!C92)</f>
        <v/>
      </c>
      <c r="I43" s="137"/>
      <c r="J43" s="137"/>
      <c r="K43" s="137"/>
      <c r="L43" s="232" t="str">
        <f>IF(Eingabe!D92="","",Eingabe!D92)</f>
        <v/>
      </c>
      <c r="M43" s="232"/>
      <c r="N43" s="232"/>
      <c r="O43" s="232"/>
      <c r="P43" s="232"/>
      <c r="Q43" s="232"/>
      <c r="R43" s="232"/>
      <c r="S43" s="232"/>
      <c r="T43" s="232"/>
      <c r="U43" s="232"/>
      <c r="V43" s="232"/>
      <c r="W43" s="232"/>
      <c r="X43" s="232"/>
      <c r="Y43" s="232"/>
      <c r="Z43" s="232"/>
      <c r="AA43" s="232"/>
      <c r="AB43" s="232"/>
      <c r="AC43" s="232"/>
      <c r="AD43" s="232"/>
      <c r="AE43" s="232"/>
      <c r="AF43" s="232"/>
      <c r="AG43" s="232"/>
      <c r="AH43" s="251" t="str">
        <f>IF(Eingabe!F92&amp;Eingabe!G92="","",Eingabe!F92&amp;"  /  "&amp;Eingabe!G92)</f>
        <v/>
      </c>
      <c r="AI43" s="251"/>
      <c r="AJ43" s="251"/>
      <c r="AK43" s="251"/>
      <c r="AL43" s="251"/>
      <c r="AM43" s="251"/>
      <c r="AN43" s="251"/>
      <c r="AO43" s="251"/>
      <c r="AP43" s="251"/>
      <c r="AQ43" s="251"/>
      <c r="AR43" s="251"/>
      <c r="AS43" s="251"/>
      <c r="AT43" s="251"/>
      <c r="AU43" s="251"/>
      <c r="AV43" s="251"/>
      <c r="AW43" s="251"/>
      <c r="AX43" s="251"/>
      <c r="AY43" s="251"/>
      <c r="AZ43" s="251"/>
      <c r="BA43" s="251"/>
      <c r="BB43" s="251"/>
      <c r="BC43" s="251"/>
      <c r="BD43" s="251"/>
      <c r="BE43" s="246" t="str">
        <f>IF(Eingabe!I92="","",Eingabe!I92)</f>
        <v/>
      </c>
      <c r="BF43" s="246"/>
      <c r="BG43" s="246"/>
      <c r="BH43" s="246"/>
      <c r="BI43" s="246"/>
      <c r="BJ43" s="246" t="str">
        <f>IF(Eingabe!I92="","",Eingabe!I92*Eingabe!B92)</f>
        <v/>
      </c>
      <c r="BK43" s="246"/>
      <c r="BL43" s="246"/>
      <c r="BM43" s="246"/>
      <c r="BN43" s="247"/>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22" t="str">
        <f>IF(Eingabe!A93="","",Eingabe!A93)</f>
        <v/>
      </c>
      <c r="B44" s="145"/>
      <c r="C44" s="145"/>
      <c r="D44" s="145" t="str">
        <f>IF(Eingabe!B93="","",Eingabe!B93)</f>
        <v/>
      </c>
      <c r="E44" s="145"/>
      <c r="F44" s="145"/>
      <c r="G44" s="145"/>
      <c r="H44" s="137" t="str">
        <f>IF(Eingabe!C93="","",Eingabe!C93)</f>
        <v/>
      </c>
      <c r="I44" s="137"/>
      <c r="J44" s="137"/>
      <c r="K44" s="137"/>
      <c r="L44" s="232" t="str">
        <f>IF(Eingabe!D93="","",Eingabe!D93)</f>
        <v/>
      </c>
      <c r="M44" s="232"/>
      <c r="N44" s="232"/>
      <c r="O44" s="232"/>
      <c r="P44" s="232"/>
      <c r="Q44" s="232"/>
      <c r="R44" s="232"/>
      <c r="S44" s="232"/>
      <c r="T44" s="232"/>
      <c r="U44" s="232"/>
      <c r="V44" s="232"/>
      <c r="W44" s="232"/>
      <c r="X44" s="232"/>
      <c r="Y44" s="232"/>
      <c r="Z44" s="232"/>
      <c r="AA44" s="232"/>
      <c r="AB44" s="232"/>
      <c r="AC44" s="232"/>
      <c r="AD44" s="232"/>
      <c r="AE44" s="232"/>
      <c r="AF44" s="232"/>
      <c r="AG44" s="232"/>
      <c r="AH44" s="251" t="str">
        <f>IF(Eingabe!F93&amp;Eingabe!G93="","",Eingabe!F93&amp;"  /  "&amp;Eingabe!G93)</f>
        <v/>
      </c>
      <c r="AI44" s="251"/>
      <c r="AJ44" s="251"/>
      <c r="AK44" s="251"/>
      <c r="AL44" s="251"/>
      <c r="AM44" s="251"/>
      <c r="AN44" s="251"/>
      <c r="AO44" s="251"/>
      <c r="AP44" s="251"/>
      <c r="AQ44" s="251"/>
      <c r="AR44" s="251"/>
      <c r="AS44" s="251"/>
      <c r="AT44" s="251"/>
      <c r="AU44" s="251"/>
      <c r="AV44" s="251"/>
      <c r="AW44" s="251"/>
      <c r="AX44" s="251"/>
      <c r="AY44" s="251"/>
      <c r="AZ44" s="251"/>
      <c r="BA44" s="251"/>
      <c r="BB44" s="251"/>
      <c r="BC44" s="251"/>
      <c r="BD44" s="251"/>
      <c r="BE44" s="246" t="str">
        <f>IF(Eingabe!I93="","",Eingabe!I93)</f>
        <v/>
      </c>
      <c r="BF44" s="246"/>
      <c r="BG44" s="246"/>
      <c r="BH44" s="246"/>
      <c r="BI44" s="246"/>
      <c r="BJ44" s="246" t="str">
        <f>IF(Eingabe!I93="","",Eingabe!I93*Eingabe!B93)</f>
        <v/>
      </c>
      <c r="BK44" s="246"/>
      <c r="BL44" s="246"/>
      <c r="BM44" s="246"/>
      <c r="BN44" s="247"/>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22" t="str">
        <f>IF(Eingabe!A94="","",Eingabe!A94)</f>
        <v/>
      </c>
      <c r="B45" s="145"/>
      <c r="C45" s="145"/>
      <c r="D45" s="145" t="str">
        <f>IF(Eingabe!B94="","",Eingabe!B94)</f>
        <v/>
      </c>
      <c r="E45" s="145"/>
      <c r="F45" s="145"/>
      <c r="G45" s="145"/>
      <c r="H45" s="137" t="str">
        <f>IF(Eingabe!C94="","",Eingabe!C94)</f>
        <v/>
      </c>
      <c r="I45" s="137"/>
      <c r="J45" s="137"/>
      <c r="K45" s="137"/>
      <c r="L45" s="232" t="str">
        <f>IF(Eingabe!D94="","",Eingabe!D94)</f>
        <v/>
      </c>
      <c r="M45" s="232"/>
      <c r="N45" s="232"/>
      <c r="O45" s="232"/>
      <c r="P45" s="232"/>
      <c r="Q45" s="232"/>
      <c r="R45" s="232"/>
      <c r="S45" s="232"/>
      <c r="T45" s="232"/>
      <c r="U45" s="232"/>
      <c r="V45" s="232"/>
      <c r="W45" s="232"/>
      <c r="X45" s="232"/>
      <c r="Y45" s="232"/>
      <c r="Z45" s="232"/>
      <c r="AA45" s="232"/>
      <c r="AB45" s="232"/>
      <c r="AC45" s="232"/>
      <c r="AD45" s="232"/>
      <c r="AE45" s="232"/>
      <c r="AF45" s="232"/>
      <c r="AG45" s="232"/>
      <c r="AH45" s="251" t="str">
        <f>IF(Eingabe!F94&amp;Eingabe!G94="","",Eingabe!F94&amp;"  /  "&amp;Eingabe!G94)</f>
        <v/>
      </c>
      <c r="AI45" s="251"/>
      <c r="AJ45" s="251"/>
      <c r="AK45" s="251"/>
      <c r="AL45" s="251"/>
      <c r="AM45" s="251"/>
      <c r="AN45" s="251"/>
      <c r="AO45" s="251"/>
      <c r="AP45" s="251"/>
      <c r="AQ45" s="251"/>
      <c r="AR45" s="251"/>
      <c r="AS45" s="251"/>
      <c r="AT45" s="251"/>
      <c r="AU45" s="251"/>
      <c r="AV45" s="251"/>
      <c r="AW45" s="251"/>
      <c r="AX45" s="251"/>
      <c r="AY45" s="251"/>
      <c r="AZ45" s="251"/>
      <c r="BA45" s="251"/>
      <c r="BB45" s="251"/>
      <c r="BC45" s="251"/>
      <c r="BD45" s="251"/>
      <c r="BE45" s="246" t="str">
        <f>IF(Eingabe!I94="","",Eingabe!I94)</f>
        <v/>
      </c>
      <c r="BF45" s="246"/>
      <c r="BG45" s="246"/>
      <c r="BH45" s="246"/>
      <c r="BI45" s="246"/>
      <c r="BJ45" s="246" t="str">
        <f>IF(Eingabe!I94="","",Eingabe!I94*Eingabe!B94)</f>
        <v/>
      </c>
      <c r="BK45" s="246"/>
      <c r="BL45" s="246"/>
      <c r="BM45" s="246"/>
      <c r="BN45" s="247"/>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22" t="str">
        <f>IF(Eingabe!A95="","",Eingabe!A95)</f>
        <v/>
      </c>
      <c r="B46" s="145"/>
      <c r="C46" s="145"/>
      <c r="D46" s="145" t="str">
        <f>IF(Eingabe!B95="","",Eingabe!B95)</f>
        <v/>
      </c>
      <c r="E46" s="145"/>
      <c r="F46" s="145"/>
      <c r="G46" s="145"/>
      <c r="H46" s="137" t="str">
        <f>IF(Eingabe!C95="","",Eingabe!C95)</f>
        <v/>
      </c>
      <c r="I46" s="137"/>
      <c r="J46" s="137"/>
      <c r="K46" s="137"/>
      <c r="L46" s="232" t="str">
        <f>IF(Eingabe!D95="","",Eingabe!D95)</f>
        <v/>
      </c>
      <c r="M46" s="232"/>
      <c r="N46" s="232"/>
      <c r="O46" s="232"/>
      <c r="P46" s="232"/>
      <c r="Q46" s="232"/>
      <c r="R46" s="232"/>
      <c r="S46" s="232"/>
      <c r="T46" s="232"/>
      <c r="U46" s="232"/>
      <c r="V46" s="232"/>
      <c r="W46" s="232"/>
      <c r="X46" s="232"/>
      <c r="Y46" s="232"/>
      <c r="Z46" s="232"/>
      <c r="AA46" s="232"/>
      <c r="AB46" s="232"/>
      <c r="AC46" s="232"/>
      <c r="AD46" s="232"/>
      <c r="AE46" s="232"/>
      <c r="AF46" s="232"/>
      <c r="AG46" s="232"/>
      <c r="AH46" s="251" t="str">
        <f>IF(Eingabe!F95&amp;Eingabe!G95="","",Eingabe!F95&amp;"  /  "&amp;Eingabe!G95)</f>
        <v/>
      </c>
      <c r="AI46" s="251"/>
      <c r="AJ46" s="251"/>
      <c r="AK46" s="251"/>
      <c r="AL46" s="251"/>
      <c r="AM46" s="251"/>
      <c r="AN46" s="251"/>
      <c r="AO46" s="251"/>
      <c r="AP46" s="251"/>
      <c r="AQ46" s="251"/>
      <c r="AR46" s="251"/>
      <c r="AS46" s="251"/>
      <c r="AT46" s="251"/>
      <c r="AU46" s="251"/>
      <c r="AV46" s="251"/>
      <c r="AW46" s="251"/>
      <c r="AX46" s="251"/>
      <c r="AY46" s="251"/>
      <c r="AZ46" s="251"/>
      <c r="BA46" s="251"/>
      <c r="BB46" s="251"/>
      <c r="BC46" s="251"/>
      <c r="BD46" s="251"/>
      <c r="BE46" s="246" t="str">
        <f>IF(Eingabe!I95="","",Eingabe!I95)</f>
        <v/>
      </c>
      <c r="BF46" s="246"/>
      <c r="BG46" s="246"/>
      <c r="BH46" s="246"/>
      <c r="BI46" s="246"/>
      <c r="BJ46" s="246" t="str">
        <f>IF(Eingabe!I95="","",Eingabe!I95*Eingabe!B95)</f>
        <v/>
      </c>
      <c r="BK46" s="246"/>
      <c r="BL46" s="246"/>
      <c r="BM46" s="246"/>
      <c r="BN46" s="247"/>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22" t="str">
        <f>IF(Eingabe!A96="","",Eingabe!A96)</f>
        <v/>
      </c>
      <c r="B47" s="145"/>
      <c r="C47" s="145"/>
      <c r="D47" s="145" t="str">
        <f>IF(Eingabe!B96="","",Eingabe!B96)</f>
        <v/>
      </c>
      <c r="E47" s="145"/>
      <c r="F47" s="145"/>
      <c r="G47" s="145"/>
      <c r="H47" s="137" t="str">
        <f>IF(Eingabe!C96="","",Eingabe!C96)</f>
        <v/>
      </c>
      <c r="I47" s="137"/>
      <c r="J47" s="137"/>
      <c r="K47" s="137"/>
      <c r="L47" s="232" t="str">
        <f>IF(Eingabe!D96="","",Eingabe!D96)</f>
        <v/>
      </c>
      <c r="M47" s="232"/>
      <c r="N47" s="232"/>
      <c r="O47" s="232"/>
      <c r="P47" s="232"/>
      <c r="Q47" s="232"/>
      <c r="R47" s="232"/>
      <c r="S47" s="232"/>
      <c r="T47" s="232"/>
      <c r="U47" s="232"/>
      <c r="V47" s="232"/>
      <c r="W47" s="232"/>
      <c r="X47" s="232"/>
      <c r="Y47" s="232"/>
      <c r="Z47" s="232"/>
      <c r="AA47" s="232"/>
      <c r="AB47" s="232"/>
      <c r="AC47" s="232"/>
      <c r="AD47" s="232"/>
      <c r="AE47" s="232"/>
      <c r="AF47" s="232"/>
      <c r="AG47" s="232"/>
      <c r="AH47" s="251" t="str">
        <f>IF(Eingabe!F96&amp;Eingabe!G96="","",Eingabe!F96&amp;"  /  "&amp;Eingabe!G96)</f>
        <v/>
      </c>
      <c r="AI47" s="251"/>
      <c r="AJ47" s="251"/>
      <c r="AK47" s="251"/>
      <c r="AL47" s="251"/>
      <c r="AM47" s="251"/>
      <c r="AN47" s="251"/>
      <c r="AO47" s="251"/>
      <c r="AP47" s="251"/>
      <c r="AQ47" s="251"/>
      <c r="AR47" s="251"/>
      <c r="AS47" s="251"/>
      <c r="AT47" s="251"/>
      <c r="AU47" s="251"/>
      <c r="AV47" s="251"/>
      <c r="AW47" s="251"/>
      <c r="AX47" s="251"/>
      <c r="AY47" s="251"/>
      <c r="AZ47" s="251"/>
      <c r="BA47" s="251"/>
      <c r="BB47" s="251"/>
      <c r="BC47" s="251"/>
      <c r="BD47" s="251"/>
      <c r="BE47" s="246" t="str">
        <f>IF(Eingabe!I96="","",Eingabe!I96)</f>
        <v/>
      </c>
      <c r="BF47" s="246"/>
      <c r="BG47" s="246"/>
      <c r="BH47" s="246"/>
      <c r="BI47" s="246"/>
      <c r="BJ47" s="246" t="str">
        <f>IF(Eingabe!I96="","",Eingabe!I96*Eingabe!B96)</f>
        <v/>
      </c>
      <c r="BK47" s="246"/>
      <c r="BL47" s="246"/>
      <c r="BM47" s="246"/>
      <c r="BN47" s="247"/>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20" t="str">
        <f>IF(Eingabe!A97="","",Eingabe!A97)</f>
        <v/>
      </c>
      <c r="B48" s="221"/>
      <c r="C48" s="221"/>
      <c r="D48" s="221" t="str">
        <f>IF(Eingabe!B97="","",Eingabe!B97)</f>
        <v/>
      </c>
      <c r="E48" s="221"/>
      <c r="F48" s="221"/>
      <c r="G48" s="221"/>
      <c r="H48" s="182" t="str">
        <f>IF(Eingabe!C97="","",Eingabe!C97)</f>
        <v/>
      </c>
      <c r="I48" s="182"/>
      <c r="J48" s="182"/>
      <c r="K48" s="182"/>
      <c r="L48" s="296" t="str">
        <f>IF(Eingabe!D97="","",Eingabe!D97)</f>
        <v/>
      </c>
      <c r="M48" s="296"/>
      <c r="N48" s="296"/>
      <c r="O48" s="296"/>
      <c r="P48" s="296"/>
      <c r="Q48" s="296"/>
      <c r="R48" s="296"/>
      <c r="S48" s="296"/>
      <c r="T48" s="296"/>
      <c r="U48" s="296"/>
      <c r="V48" s="296"/>
      <c r="W48" s="296"/>
      <c r="X48" s="296"/>
      <c r="Y48" s="296"/>
      <c r="Z48" s="296"/>
      <c r="AA48" s="296"/>
      <c r="AB48" s="296"/>
      <c r="AC48" s="296"/>
      <c r="AD48" s="296"/>
      <c r="AE48" s="296"/>
      <c r="AF48" s="296"/>
      <c r="AG48" s="296"/>
      <c r="AH48" s="251" t="str">
        <f>IF(Eingabe!F97&amp;Eingabe!G97="","",Eingabe!F97&amp;"  /  "&amp;Eingabe!G97)</f>
        <v/>
      </c>
      <c r="AI48" s="251"/>
      <c r="AJ48" s="251"/>
      <c r="AK48" s="251"/>
      <c r="AL48" s="251"/>
      <c r="AM48" s="251"/>
      <c r="AN48" s="251"/>
      <c r="AO48" s="251"/>
      <c r="AP48" s="251"/>
      <c r="AQ48" s="251"/>
      <c r="AR48" s="251"/>
      <c r="AS48" s="251"/>
      <c r="AT48" s="251"/>
      <c r="AU48" s="251"/>
      <c r="AV48" s="251"/>
      <c r="AW48" s="251"/>
      <c r="AX48" s="251"/>
      <c r="AY48" s="251"/>
      <c r="AZ48" s="251"/>
      <c r="BA48" s="251"/>
      <c r="BB48" s="251"/>
      <c r="BC48" s="251"/>
      <c r="BD48" s="251"/>
      <c r="BE48" s="269" t="str">
        <f>IF(Eingabe!I97="","",Eingabe!I97)</f>
        <v/>
      </c>
      <c r="BF48" s="269"/>
      <c r="BG48" s="269"/>
      <c r="BH48" s="269"/>
      <c r="BI48" s="269"/>
      <c r="BJ48" s="269" t="str">
        <f>IF(Eingabe!I97="","",Eingabe!I97*Eingabe!B97)</f>
        <v/>
      </c>
      <c r="BK48" s="269"/>
      <c r="BL48" s="269"/>
      <c r="BM48" s="269"/>
      <c r="BN48" s="272"/>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58"/>
      <c r="B49" s="259"/>
      <c r="C49" s="259"/>
      <c r="D49" s="259"/>
      <c r="E49" s="259"/>
      <c r="F49" s="259"/>
      <c r="G49" s="259"/>
      <c r="H49" s="259"/>
      <c r="I49" s="259"/>
      <c r="J49" s="259"/>
      <c r="K49" s="259"/>
      <c r="L49" s="259"/>
      <c r="M49" s="259"/>
      <c r="N49" s="259"/>
      <c r="O49" s="259"/>
      <c r="P49" s="259"/>
      <c r="Q49" s="259"/>
      <c r="R49" s="259"/>
      <c r="S49" s="259"/>
      <c r="T49" s="259"/>
      <c r="U49" s="259"/>
      <c r="V49" s="259"/>
      <c r="W49" s="259"/>
      <c r="X49" s="259"/>
      <c r="Y49" s="259"/>
      <c r="Z49" s="259"/>
      <c r="AA49" s="259"/>
      <c r="AB49" s="259"/>
      <c r="AC49" s="259"/>
      <c r="AD49" s="259"/>
      <c r="AE49" s="259"/>
      <c r="AF49" s="259"/>
      <c r="AG49" s="260"/>
      <c r="AH49" s="282" t="s">
        <v>36</v>
      </c>
      <c r="AI49" s="283"/>
      <c r="AJ49" s="283"/>
      <c r="AK49" s="283"/>
      <c r="AL49" s="283"/>
      <c r="AM49" s="283"/>
      <c r="AN49" s="283"/>
      <c r="AO49" s="283"/>
      <c r="AP49" s="283"/>
      <c r="AQ49" s="283"/>
      <c r="AR49" s="283"/>
      <c r="AS49" s="283"/>
      <c r="AT49" s="283"/>
      <c r="AU49" s="283"/>
      <c r="AV49" s="283"/>
      <c r="AW49" s="283"/>
      <c r="AX49" s="283"/>
      <c r="AY49" s="283"/>
      <c r="AZ49" s="283"/>
      <c r="BA49" s="283"/>
      <c r="BB49" s="283"/>
      <c r="BC49" s="283"/>
      <c r="BD49" s="283"/>
      <c r="BE49" s="295">
        <f>'Materialkalkulation (1)'!BE52:BN52</f>
        <v>1.3122999999999998</v>
      </c>
      <c r="BF49" s="270"/>
      <c r="BG49" s="270"/>
      <c r="BH49" s="270"/>
      <c r="BI49" s="270"/>
      <c r="BJ49" s="270"/>
      <c r="BK49" s="270"/>
      <c r="BL49" s="270"/>
      <c r="BM49" s="270"/>
      <c r="BN49" s="271"/>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61"/>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3"/>
      <c r="AH50" s="273" t="s">
        <v>32</v>
      </c>
      <c r="AI50" s="274"/>
      <c r="AJ50" s="274"/>
      <c r="AK50" s="274"/>
      <c r="AL50" s="274"/>
      <c r="AM50" s="274"/>
      <c r="AN50" s="274"/>
      <c r="AO50" s="274"/>
      <c r="AP50" s="274"/>
      <c r="AQ50" s="274"/>
      <c r="AR50" s="274"/>
      <c r="AS50" s="274"/>
      <c r="AT50" s="274"/>
      <c r="AU50" s="274"/>
      <c r="AV50" s="274"/>
      <c r="AW50" s="274"/>
      <c r="AX50" s="274"/>
      <c r="AY50" s="274"/>
      <c r="AZ50" s="274"/>
      <c r="BA50" s="274"/>
      <c r="BB50" s="274"/>
      <c r="BC50" s="274"/>
      <c r="BD50" s="274"/>
      <c r="BE50" s="278">
        <f>SUM(BJ4:BN48)</f>
        <v>0</v>
      </c>
      <c r="BF50" s="278"/>
      <c r="BG50" s="278"/>
      <c r="BH50" s="278"/>
      <c r="BI50" s="278"/>
      <c r="BJ50" s="278"/>
      <c r="BK50" s="278"/>
      <c r="BL50" s="278"/>
      <c r="BM50" s="278"/>
      <c r="BN50" s="279"/>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61"/>
      <c r="B51" s="262"/>
      <c r="C51" s="262"/>
      <c r="D51" s="262"/>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3"/>
      <c r="AH51" s="273" t="s">
        <v>34</v>
      </c>
      <c r="AI51" s="274"/>
      <c r="AJ51" s="274"/>
      <c r="AK51" s="274"/>
      <c r="AL51" s="274"/>
      <c r="AM51" s="274"/>
      <c r="AN51" s="274"/>
      <c r="AO51" s="274"/>
      <c r="AP51" s="274"/>
      <c r="AQ51" s="274"/>
      <c r="AR51" s="274"/>
      <c r="AS51" s="274"/>
      <c r="AT51" s="274"/>
      <c r="AU51" s="274"/>
      <c r="AV51" s="274"/>
      <c r="AW51" s="274"/>
      <c r="AX51" s="274"/>
      <c r="AY51" s="274"/>
      <c r="AZ51" s="274"/>
      <c r="BA51" s="274"/>
      <c r="BB51" s="274"/>
      <c r="BC51" s="274"/>
      <c r="BD51" s="274"/>
      <c r="BE51" s="280">
        <f>BE50*0.1</f>
        <v>0</v>
      </c>
      <c r="BF51" s="280"/>
      <c r="BG51" s="280"/>
      <c r="BH51" s="280"/>
      <c r="BI51" s="280"/>
      <c r="BJ51" s="280"/>
      <c r="BK51" s="280"/>
      <c r="BL51" s="280"/>
      <c r="BM51" s="280"/>
      <c r="BN51" s="281"/>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64"/>
      <c r="B52" s="265"/>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6"/>
      <c r="AH52" s="267" t="s">
        <v>33</v>
      </c>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80">
        <f>SUM(BE49:BN51)</f>
        <v>1.3122999999999998</v>
      </c>
      <c r="BF52" s="280"/>
      <c r="BG52" s="280"/>
      <c r="BH52" s="280"/>
      <c r="BI52" s="280"/>
      <c r="BJ52" s="280"/>
      <c r="BK52" s="280"/>
      <c r="BL52" s="280"/>
      <c r="BM52" s="280"/>
      <c r="BN52" s="281"/>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34" t="s">
        <v>0</v>
      </c>
      <c r="B53" s="135"/>
      <c r="C53" s="135"/>
      <c r="D53" s="135"/>
      <c r="E53" s="135"/>
      <c r="F53" s="135"/>
      <c r="G53" s="135"/>
      <c r="H53" s="135"/>
      <c r="I53" s="135"/>
      <c r="J53" s="135"/>
      <c r="K53" s="135"/>
      <c r="L53" s="135"/>
      <c r="M53" s="135"/>
      <c r="N53" s="135"/>
      <c r="O53" s="135"/>
      <c r="P53" s="135"/>
      <c r="Q53" s="135"/>
      <c r="R53" s="135"/>
      <c r="S53" s="135"/>
      <c r="T53" s="135"/>
      <c r="U53" s="135"/>
      <c r="V53" s="136"/>
      <c r="W53" s="134" t="s">
        <v>1</v>
      </c>
      <c r="X53" s="135"/>
      <c r="Y53" s="135"/>
      <c r="Z53" s="135"/>
      <c r="AA53" s="135"/>
      <c r="AB53" s="135"/>
      <c r="AC53" s="135"/>
      <c r="AD53" s="135"/>
      <c r="AE53" s="135"/>
      <c r="AF53" s="135"/>
      <c r="AG53" s="135"/>
      <c r="AH53" s="135"/>
      <c r="AI53" s="135"/>
      <c r="AJ53" s="135"/>
      <c r="AK53" s="135"/>
      <c r="AL53" s="135"/>
      <c r="AM53" s="135"/>
      <c r="AN53" s="135"/>
      <c r="AO53" s="135"/>
      <c r="AP53" s="135"/>
      <c r="AQ53" s="135"/>
      <c r="AR53" s="136"/>
      <c r="AS53" s="134" t="s">
        <v>2</v>
      </c>
      <c r="AT53" s="135"/>
      <c r="AU53" s="135"/>
      <c r="AV53" s="135"/>
      <c r="AW53" s="135"/>
      <c r="AX53" s="135"/>
      <c r="AY53" s="135"/>
      <c r="AZ53" s="135"/>
      <c r="BA53" s="136"/>
      <c r="BB53" s="134" t="s">
        <v>3</v>
      </c>
      <c r="BC53" s="135"/>
      <c r="BD53" s="135"/>
      <c r="BE53" s="135"/>
      <c r="BF53" s="135"/>
      <c r="BG53" s="135"/>
      <c r="BH53" s="135"/>
      <c r="BI53" s="135"/>
      <c r="BJ53" s="135"/>
      <c r="BK53" s="135"/>
      <c r="BL53" s="135"/>
      <c r="BM53" s="135"/>
      <c r="BN53" s="136"/>
    </row>
    <row r="54" spans="1:256" ht="10.5" customHeight="1" x14ac:dyDescent="0.2">
      <c r="A54" s="167" t="str">
        <f>IF(Eingabe!O3="","",Eingabe!O3)</f>
        <v>Beilage 10</v>
      </c>
      <c r="B54" s="168"/>
      <c r="C54" s="168"/>
      <c r="D54" s="168"/>
      <c r="E54" s="168"/>
      <c r="F54" s="168"/>
      <c r="G54" s="168"/>
      <c r="H54" s="168"/>
      <c r="I54" s="168"/>
      <c r="J54" s="168"/>
      <c r="K54" s="168"/>
      <c r="L54" s="168"/>
      <c r="M54" s="168"/>
      <c r="N54" s="168"/>
      <c r="O54" s="168"/>
      <c r="P54" s="168"/>
      <c r="Q54" s="168"/>
      <c r="R54" s="168"/>
      <c r="S54" s="168"/>
      <c r="T54" s="168"/>
      <c r="U54" s="168"/>
      <c r="V54" s="169"/>
      <c r="W54" s="186" t="str">
        <f>IF(Eingabe!E3="","",Eingabe!E3)</f>
        <v>Max Mustermann</v>
      </c>
      <c r="X54" s="187"/>
      <c r="Y54" s="187"/>
      <c r="Z54" s="187"/>
      <c r="AA54" s="187"/>
      <c r="AB54" s="187"/>
      <c r="AC54" s="187"/>
      <c r="AD54" s="187"/>
      <c r="AE54" s="187"/>
      <c r="AF54" s="187"/>
      <c r="AG54" s="187"/>
      <c r="AH54" s="187"/>
      <c r="AI54" s="187"/>
      <c r="AJ54" s="187"/>
      <c r="AK54" s="187"/>
      <c r="AL54" s="187"/>
      <c r="AM54" s="187"/>
      <c r="AN54" s="187"/>
      <c r="AO54" s="187"/>
      <c r="AP54" s="187"/>
      <c r="AQ54" s="187"/>
      <c r="AR54" s="188"/>
      <c r="AS54" s="210" t="str">
        <f>IF(Eingabe!I1="","",Eingabe!I1)</f>
        <v/>
      </c>
      <c r="AT54" s="211"/>
      <c r="AU54" s="211"/>
      <c r="AV54" s="211"/>
      <c r="AW54" s="211"/>
      <c r="AX54" s="211"/>
      <c r="AY54" s="211"/>
      <c r="AZ54" s="211"/>
      <c r="BA54" s="212"/>
      <c r="BB54" s="210" t="str">
        <f>IF(Eingabe!I2="","",Eingabe!I2)</f>
        <v/>
      </c>
      <c r="BC54" s="211"/>
      <c r="BD54" s="211"/>
      <c r="BE54" s="211"/>
      <c r="BF54" s="211"/>
      <c r="BG54" s="211"/>
      <c r="BH54" s="211"/>
      <c r="BI54" s="211"/>
      <c r="BJ54" s="211"/>
      <c r="BK54" s="211"/>
      <c r="BL54" s="211"/>
      <c r="BM54" s="211"/>
      <c r="BN54" s="212"/>
    </row>
    <row r="55" spans="1:256" ht="10.5" customHeight="1" thickBot="1" x14ac:dyDescent="0.25">
      <c r="A55" s="170"/>
      <c r="B55" s="171"/>
      <c r="C55" s="171"/>
      <c r="D55" s="171"/>
      <c r="E55" s="171"/>
      <c r="F55" s="171"/>
      <c r="G55" s="171"/>
      <c r="H55" s="171"/>
      <c r="I55" s="171"/>
      <c r="J55" s="171"/>
      <c r="K55" s="171"/>
      <c r="L55" s="171"/>
      <c r="M55" s="171"/>
      <c r="N55" s="171"/>
      <c r="O55" s="171"/>
      <c r="P55" s="171"/>
      <c r="Q55" s="171"/>
      <c r="R55" s="171"/>
      <c r="S55" s="171"/>
      <c r="T55" s="171"/>
      <c r="U55" s="171"/>
      <c r="V55" s="172"/>
      <c r="W55" s="189"/>
      <c r="X55" s="190"/>
      <c r="Y55" s="190"/>
      <c r="Z55" s="190"/>
      <c r="AA55" s="190"/>
      <c r="AB55" s="190"/>
      <c r="AC55" s="190"/>
      <c r="AD55" s="190"/>
      <c r="AE55" s="190"/>
      <c r="AF55" s="190"/>
      <c r="AG55" s="190"/>
      <c r="AH55" s="190"/>
      <c r="AI55" s="190"/>
      <c r="AJ55" s="190"/>
      <c r="AK55" s="190"/>
      <c r="AL55" s="190"/>
      <c r="AM55" s="190"/>
      <c r="AN55" s="190"/>
      <c r="AO55" s="190"/>
      <c r="AP55" s="190"/>
      <c r="AQ55" s="190"/>
      <c r="AR55" s="191"/>
      <c r="AS55" s="213"/>
      <c r="AT55" s="214"/>
      <c r="AU55" s="214"/>
      <c r="AV55" s="214"/>
      <c r="AW55" s="214"/>
      <c r="AX55" s="214"/>
      <c r="AY55" s="214"/>
      <c r="AZ55" s="214"/>
      <c r="BA55" s="215"/>
      <c r="BB55" s="213"/>
      <c r="BC55" s="214"/>
      <c r="BD55" s="214"/>
      <c r="BE55" s="214"/>
      <c r="BF55" s="214"/>
      <c r="BG55" s="214"/>
      <c r="BH55" s="214"/>
      <c r="BI55" s="214"/>
      <c r="BJ55" s="214"/>
      <c r="BK55" s="214"/>
      <c r="BL55" s="214"/>
      <c r="BM55" s="214"/>
      <c r="BN55" s="215"/>
    </row>
    <row r="56" spans="1:256" ht="10.5" customHeight="1" x14ac:dyDescent="0.2">
      <c r="A56" s="173"/>
      <c r="B56" s="174"/>
      <c r="C56" s="174"/>
      <c r="D56" s="174"/>
      <c r="E56" s="174"/>
      <c r="F56" s="174"/>
      <c r="G56" s="174"/>
      <c r="H56" s="174"/>
      <c r="I56" s="174"/>
      <c r="J56" s="174"/>
      <c r="K56" s="174"/>
      <c r="L56" s="174"/>
      <c r="M56" s="174"/>
      <c r="N56" s="174"/>
      <c r="O56" s="174"/>
      <c r="P56" s="174"/>
      <c r="Q56" s="174"/>
      <c r="R56" s="174"/>
      <c r="S56" s="174"/>
      <c r="T56" s="174"/>
      <c r="U56" s="174"/>
      <c r="V56" s="175"/>
      <c r="W56" s="134" t="s">
        <v>4</v>
      </c>
      <c r="X56" s="135"/>
      <c r="Y56" s="135"/>
      <c r="Z56" s="135"/>
      <c r="AA56" s="135"/>
      <c r="AB56" s="135"/>
      <c r="AC56" s="135"/>
      <c r="AD56" s="135"/>
      <c r="AE56" s="135"/>
      <c r="AF56" s="136"/>
      <c r="AG56" s="134" t="s">
        <v>5</v>
      </c>
      <c r="AH56" s="135"/>
      <c r="AI56" s="135"/>
      <c r="AJ56" s="136"/>
      <c r="AK56" s="134" t="s">
        <v>6</v>
      </c>
      <c r="AL56" s="135"/>
      <c r="AM56" s="135"/>
      <c r="AN56" s="136"/>
      <c r="AO56" s="134" t="s">
        <v>7</v>
      </c>
      <c r="AP56" s="135"/>
      <c r="AQ56" s="135"/>
      <c r="AR56" s="136"/>
      <c r="AS56" s="134" t="s">
        <v>8</v>
      </c>
      <c r="AT56" s="135"/>
      <c r="AU56" s="135"/>
      <c r="AV56" s="135"/>
      <c r="AW56" s="135"/>
      <c r="AX56" s="135"/>
      <c r="AY56" s="135"/>
      <c r="AZ56" s="135"/>
      <c r="BA56" s="135"/>
      <c r="BB56" s="135"/>
      <c r="BC56" s="135"/>
      <c r="BD56" s="135"/>
      <c r="BE56" s="135"/>
      <c r="BF56" s="135"/>
      <c r="BG56" s="135"/>
      <c r="BH56" s="136"/>
      <c r="BI56" s="134" t="s">
        <v>9</v>
      </c>
      <c r="BJ56" s="135"/>
      <c r="BK56" s="135"/>
      <c r="BL56" s="135"/>
      <c r="BM56" s="135"/>
      <c r="BN56" s="136"/>
    </row>
    <row r="57" spans="1:256" ht="10.5" customHeight="1" x14ac:dyDescent="0.2">
      <c r="A57" s="176"/>
      <c r="B57" s="177"/>
      <c r="C57" s="177"/>
      <c r="D57" s="177"/>
      <c r="E57" s="177"/>
      <c r="F57" s="177"/>
      <c r="G57" s="177"/>
      <c r="H57" s="177"/>
      <c r="I57" s="177"/>
      <c r="J57" s="177"/>
      <c r="K57" s="177"/>
      <c r="L57" s="177"/>
      <c r="M57" s="177"/>
      <c r="N57" s="177"/>
      <c r="O57" s="177"/>
      <c r="P57" s="177"/>
      <c r="Q57" s="177"/>
      <c r="R57" s="177"/>
      <c r="S57" s="177"/>
      <c r="T57" s="177"/>
      <c r="U57" s="177"/>
      <c r="V57" s="178"/>
      <c r="W57" s="167" t="str">
        <f>IF(CONCATENATE(Eingabe!E1," ", Eingabe!E2)="","",CONCATENATE(Eingabe!E1," ", Eingabe!E2))</f>
        <v>xxHELx xx</v>
      </c>
      <c r="X57" s="168"/>
      <c r="Y57" s="168"/>
      <c r="Z57" s="168"/>
      <c r="AA57" s="168"/>
      <c r="AB57" s="168"/>
      <c r="AC57" s="168"/>
      <c r="AD57" s="168"/>
      <c r="AE57" s="168"/>
      <c r="AF57" s="169"/>
      <c r="AG57" s="167" t="str">
        <f>IF(Eingabe!E4="","",Eingabe!E4)</f>
        <v>MusM</v>
      </c>
      <c r="AH57" s="168"/>
      <c r="AI57" s="168"/>
      <c r="AJ57" s="169"/>
      <c r="AK57" s="152" t="str">
        <f>IF(Eingabe!I3="","",Eingabe!I3)</f>
        <v/>
      </c>
      <c r="AL57" s="153"/>
      <c r="AM57" s="153"/>
      <c r="AN57" s="154"/>
      <c r="AO57" s="152" t="str">
        <f>IF(Eingabe!I4="","",Eingabe!I4)</f>
        <v/>
      </c>
      <c r="AP57" s="153"/>
      <c r="AQ57" s="153"/>
      <c r="AR57" s="154"/>
      <c r="AS57" s="139" t="s">
        <v>37</v>
      </c>
      <c r="AT57" s="140"/>
      <c r="AU57" s="140"/>
      <c r="AV57" s="140"/>
      <c r="AW57" s="140"/>
      <c r="AX57" s="140"/>
      <c r="AY57" s="140"/>
      <c r="AZ57" s="140"/>
      <c r="BA57" s="140"/>
      <c r="BB57" s="140"/>
      <c r="BC57" s="140"/>
      <c r="BD57" s="140"/>
      <c r="BE57" s="140"/>
      <c r="BF57" s="140"/>
      <c r="BG57" s="140"/>
      <c r="BH57" s="141"/>
      <c r="BI57" s="167" t="str">
        <f>IF(Eingabe!I5="","",Eingabe!I5)</f>
        <v>StrH</v>
      </c>
      <c r="BJ57" s="168"/>
      <c r="BK57" s="168"/>
      <c r="BL57" s="168"/>
      <c r="BM57" s="168"/>
      <c r="BN57" s="169"/>
    </row>
    <row r="58" spans="1:256" ht="10.5" customHeight="1" thickBot="1" x14ac:dyDescent="0.25">
      <c r="A58" s="176"/>
      <c r="B58" s="177"/>
      <c r="C58" s="177"/>
      <c r="D58" s="177"/>
      <c r="E58" s="177"/>
      <c r="F58" s="177"/>
      <c r="G58" s="177"/>
      <c r="H58" s="177"/>
      <c r="I58" s="177"/>
      <c r="J58" s="177"/>
      <c r="K58" s="177"/>
      <c r="L58" s="177"/>
      <c r="M58" s="177"/>
      <c r="N58" s="177"/>
      <c r="O58" s="177"/>
      <c r="P58" s="177"/>
      <c r="Q58" s="177"/>
      <c r="R58" s="177"/>
      <c r="S58" s="177"/>
      <c r="T58" s="177"/>
      <c r="U58" s="177"/>
      <c r="V58" s="178"/>
      <c r="W58" s="170"/>
      <c r="X58" s="171"/>
      <c r="Y58" s="171"/>
      <c r="Z58" s="171"/>
      <c r="AA58" s="171"/>
      <c r="AB58" s="171"/>
      <c r="AC58" s="171"/>
      <c r="AD58" s="171"/>
      <c r="AE58" s="171"/>
      <c r="AF58" s="172"/>
      <c r="AG58" s="170"/>
      <c r="AH58" s="171"/>
      <c r="AI58" s="171"/>
      <c r="AJ58" s="172"/>
      <c r="AK58" s="155"/>
      <c r="AL58" s="156"/>
      <c r="AM58" s="156"/>
      <c r="AN58" s="157"/>
      <c r="AO58" s="155"/>
      <c r="AP58" s="156"/>
      <c r="AQ58" s="156"/>
      <c r="AR58" s="157"/>
      <c r="AS58" s="142"/>
      <c r="AT58" s="143"/>
      <c r="AU58" s="143"/>
      <c r="AV58" s="143"/>
      <c r="AW58" s="143"/>
      <c r="AX58" s="143"/>
      <c r="AY58" s="143"/>
      <c r="AZ58" s="143"/>
      <c r="BA58" s="143"/>
      <c r="BB58" s="143"/>
      <c r="BC58" s="143"/>
      <c r="BD58" s="143"/>
      <c r="BE58" s="143"/>
      <c r="BF58" s="143"/>
      <c r="BG58" s="143"/>
      <c r="BH58" s="144"/>
      <c r="BI58" s="170"/>
      <c r="BJ58" s="171"/>
      <c r="BK58" s="171"/>
      <c r="BL58" s="171"/>
      <c r="BM58" s="171"/>
      <c r="BN58" s="172"/>
    </row>
    <row r="59" spans="1:256" ht="10.5" customHeight="1" x14ac:dyDescent="0.2">
      <c r="A59" s="176"/>
      <c r="B59" s="177"/>
      <c r="C59" s="177"/>
      <c r="D59" s="177"/>
      <c r="E59" s="177"/>
      <c r="F59" s="177"/>
      <c r="G59" s="177"/>
      <c r="H59" s="177"/>
      <c r="I59" s="177"/>
      <c r="J59" s="177"/>
      <c r="K59" s="177"/>
      <c r="L59" s="177"/>
      <c r="M59" s="177"/>
      <c r="N59" s="177"/>
      <c r="O59" s="177"/>
      <c r="P59" s="177"/>
      <c r="Q59" s="177"/>
      <c r="R59" s="177"/>
      <c r="S59" s="177"/>
      <c r="T59" s="177"/>
      <c r="U59" s="177"/>
      <c r="V59" s="178"/>
      <c r="W59" s="134" t="s">
        <v>10</v>
      </c>
      <c r="X59" s="135"/>
      <c r="Y59" s="135"/>
      <c r="Z59" s="135"/>
      <c r="AA59" s="135"/>
      <c r="AB59" s="135"/>
      <c r="AC59" s="135"/>
      <c r="AD59" s="135"/>
      <c r="AE59" s="135"/>
      <c r="AF59" s="135"/>
      <c r="AG59" s="135"/>
      <c r="AH59" s="135"/>
      <c r="AI59" s="135"/>
      <c r="AJ59" s="135"/>
      <c r="AK59" s="135"/>
      <c r="AL59" s="135"/>
      <c r="AM59" s="135"/>
      <c r="AN59" s="135"/>
      <c r="AO59" s="135"/>
      <c r="AP59" s="135"/>
      <c r="AQ59" s="135"/>
      <c r="AR59" s="136"/>
      <c r="AS59" s="134" t="s">
        <v>11</v>
      </c>
      <c r="AT59" s="135"/>
      <c r="AU59" s="135"/>
      <c r="AV59" s="135"/>
      <c r="AW59" s="135"/>
      <c r="AX59" s="135"/>
      <c r="AY59" s="136"/>
      <c r="AZ59" s="134" t="s">
        <v>12</v>
      </c>
      <c r="BA59" s="135"/>
      <c r="BB59" s="135"/>
      <c r="BC59" s="135"/>
      <c r="BD59" s="136"/>
      <c r="BE59" s="134" t="s">
        <v>13</v>
      </c>
      <c r="BF59" s="135"/>
      <c r="BG59" s="135"/>
      <c r="BH59" s="135"/>
      <c r="BI59" s="135"/>
      <c r="BJ59" s="135"/>
      <c r="BK59" s="135"/>
      <c r="BL59" s="135"/>
      <c r="BM59" s="135"/>
      <c r="BN59" s="136"/>
    </row>
    <row r="60" spans="1:256" ht="10.5" customHeight="1" x14ac:dyDescent="0.2">
      <c r="A60" s="176"/>
      <c r="B60" s="177"/>
      <c r="C60" s="177"/>
      <c r="D60" s="177"/>
      <c r="E60" s="177"/>
      <c r="F60" s="177"/>
      <c r="G60" s="177"/>
      <c r="H60" s="177"/>
      <c r="I60" s="177"/>
      <c r="J60" s="177"/>
      <c r="K60" s="177"/>
      <c r="L60" s="177"/>
      <c r="M60" s="177"/>
      <c r="N60" s="177"/>
      <c r="O60" s="177"/>
      <c r="P60" s="177"/>
      <c r="Q60" s="177"/>
      <c r="R60" s="177"/>
      <c r="S60" s="177"/>
      <c r="T60" s="177"/>
      <c r="U60" s="177"/>
      <c r="V60" s="178"/>
      <c r="W60" s="179" t="str">
        <f>IF(Eingabe!E5="","",Eingabe!E5)</f>
        <v>Gemini 4</v>
      </c>
      <c r="X60" s="180"/>
      <c r="Y60" s="180"/>
      <c r="Z60" s="180"/>
      <c r="AA60" s="180"/>
      <c r="AB60" s="180"/>
      <c r="AC60" s="180"/>
      <c r="AD60" s="180"/>
      <c r="AE60" s="180"/>
      <c r="AF60" s="180"/>
      <c r="AG60" s="180"/>
      <c r="AH60" s="180"/>
      <c r="AI60" s="180"/>
      <c r="AJ60" s="180"/>
      <c r="AK60" s="180"/>
      <c r="AL60" s="180"/>
      <c r="AM60" s="180"/>
      <c r="AN60" s="180"/>
      <c r="AO60" s="180"/>
      <c r="AP60" s="180"/>
      <c r="AQ60" s="180"/>
      <c r="AR60" s="181"/>
      <c r="AS60" s="219" t="str">
        <f>IF(Eingabe!L3="","",Eingabe!L3)</f>
        <v>4.4</v>
      </c>
      <c r="AT60" s="193"/>
      <c r="AU60" s="193"/>
      <c r="AV60" s="193"/>
      <c r="AW60" s="193"/>
      <c r="AX60" s="193"/>
      <c r="AY60" s="194"/>
      <c r="AZ60" s="219" t="str">
        <f>IF(Eingabe!L4="","",Eingabe!L4)</f>
        <v>002</v>
      </c>
      <c r="BA60" s="193"/>
      <c r="BB60" s="193"/>
      <c r="BC60" s="193"/>
      <c r="BD60" s="194"/>
      <c r="BE60" s="139" t="str">
        <f>IF(Eingabe!L5="","",Eingabe!L5)</f>
        <v>Fertigung</v>
      </c>
      <c r="BF60" s="140"/>
      <c r="BG60" s="140"/>
      <c r="BH60" s="140"/>
      <c r="BI60" s="140"/>
      <c r="BJ60" s="140"/>
      <c r="BK60" s="140"/>
      <c r="BL60" s="140"/>
      <c r="BM60" s="140"/>
      <c r="BN60" s="141"/>
    </row>
    <row r="61" spans="1:256" ht="10.5" customHeight="1" thickBot="1" x14ac:dyDescent="0.25">
      <c r="A61" s="164" t="s">
        <v>14</v>
      </c>
      <c r="B61" s="165"/>
      <c r="C61" s="165"/>
      <c r="D61" s="165"/>
      <c r="E61" s="165"/>
      <c r="F61" s="165"/>
      <c r="G61" s="165"/>
      <c r="H61" s="165"/>
      <c r="I61" s="165"/>
      <c r="J61" s="165"/>
      <c r="K61" s="165"/>
      <c r="L61" s="165"/>
      <c r="M61" s="165"/>
      <c r="N61" s="165"/>
      <c r="O61" s="165"/>
      <c r="P61" s="165"/>
      <c r="Q61" s="165"/>
      <c r="R61" s="165"/>
      <c r="S61" s="165"/>
      <c r="T61" s="165"/>
      <c r="U61" s="165"/>
      <c r="V61" s="166"/>
      <c r="W61" s="179"/>
      <c r="X61" s="180"/>
      <c r="Y61" s="180"/>
      <c r="Z61" s="180"/>
      <c r="AA61" s="180"/>
      <c r="AB61" s="180"/>
      <c r="AC61" s="180"/>
      <c r="AD61" s="180"/>
      <c r="AE61" s="180"/>
      <c r="AF61" s="180"/>
      <c r="AG61" s="180"/>
      <c r="AH61" s="180"/>
      <c r="AI61" s="180"/>
      <c r="AJ61" s="180"/>
      <c r="AK61" s="180"/>
      <c r="AL61" s="180"/>
      <c r="AM61" s="180"/>
      <c r="AN61" s="180"/>
      <c r="AO61" s="180"/>
      <c r="AP61" s="180"/>
      <c r="AQ61" s="180"/>
      <c r="AR61" s="181"/>
      <c r="AS61" s="195"/>
      <c r="AT61" s="196"/>
      <c r="AU61" s="196"/>
      <c r="AV61" s="196"/>
      <c r="AW61" s="196"/>
      <c r="AX61" s="196"/>
      <c r="AY61" s="197"/>
      <c r="AZ61" s="195"/>
      <c r="BA61" s="196"/>
      <c r="BB61" s="196"/>
      <c r="BC61" s="196"/>
      <c r="BD61" s="197"/>
      <c r="BE61" s="142"/>
      <c r="BF61" s="143"/>
      <c r="BG61" s="143"/>
      <c r="BH61" s="143"/>
      <c r="BI61" s="143"/>
      <c r="BJ61" s="143"/>
      <c r="BK61" s="143"/>
      <c r="BL61" s="143"/>
      <c r="BM61" s="143"/>
      <c r="BN61" s="144"/>
    </row>
    <row r="62" spans="1:256" ht="10.5" customHeight="1" x14ac:dyDescent="0.2">
      <c r="A62" s="164"/>
      <c r="B62" s="165"/>
      <c r="C62" s="165"/>
      <c r="D62" s="165"/>
      <c r="E62" s="165"/>
      <c r="F62" s="165"/>
      <c r="G62" s="165"/>
      <c r="H62" s="165"/>
      <c r="I62" s="165"/>
      <c r="J62" s="165"/>
      <c r="K62" s="165"/>
      <c r="L62" s="165"/>
      <c r="M62" s="165"/>
      <c r="N62" s="165"/>
      <c r="O62" s="165"/>
      <c r="P62" s="165"/>
      <c r="Q62" s="165"/>
      <c r="R62" s="165"/>
      <c r="S62" s="165"/>
      <c r="T62" s="165"/>
      <c r="U62" s="165"/>
      <c r="V62" s="166"/>
      <c r="W62" s="179"/>
      <c r="X62" s="180"/>
      <c r="Y62" s="180"/>
      <c r="Z62" s="180"/>
      <c r="AA62" s="180"/>
      <c r="AB62" s="180"/>
      <c r="AC62" s="180"/>
      <c r="AD62" s="180"/>
      <c r="AE62" s="180"/>
      <c r="AF62" s="180"/>
      <c r="AG62" s="180"/>
      <c r="AH62" s="180"/>
      <c r="AI62" s="180"/>
      <c r="AJ62" s="180"/>
      <c r="AK62" s="180"/>
      <c r="AL62" s="180"/>
      <c r="AM62" s="180"/>
      <c r="AN62" s="180"/>
      <c r="AO62" s="180"/>
      <c r="AP62" s="180"/>
      <c r="AQ62" s="180"/>
      <c r="AR62" s="181"/>
      <c r="AS62" s="216" t="s">
        <v>15</v>
      </c>
      <c r="AT62" s="217"/>
      <c r="AU62" s="217"/>
      <c r="AV62" s="218"/>
      <c r="AW62" s="201" t="s">
        <v>16</v>
      </c>
      <c r="AX62" s="202"/>
      <c r="AY62" s="203"/>
      <c r="AZ62" s="134" t="s">
        <v>17</v>
      </c>
      <c r="BA62" s="135"/>
      <c r="BB62" s="135"/>
      <c r="BC62" s="135"/>
      <c r="BD62" s="135"/>
      <c r="BE62" s="135"/>
      <c r="BF62" s="135"/>
      <c r="BG62" s="135"/>
      <c r="BH62" s="136"/>
      <c r="BI62" s="201" t="s">
        <v>18</v>
      </c>
      <c r="BJ62" s="202"/>
      <c r="BK62" s="203"/>
      <c r="BL62" s="14" t="s">
        <v>19</v>
      </c>
      <c r="BM62" s="15"/>
      <c r="BN62" s="16"/>
    </row>
    <row r="63" spans="1:256" ht="10.5" customHeight="1" x14ac:dyDescent="0.2">
      <c r="A63" s="158" t="str">
        <f>IF(Eingabe!M6="","",Eingabe!M6)</f>
        <v>Technische Informatik</v>
      </c>
      <c r="B63" s="159"/>
      <c r="C63" s="159"/>
      <c r="D63" s="159"/>
      <c r="E63" s="159"/>
      <c r="F63" s="159"/>
      <c r="G63" s="159"/>
      <c r="H63" s="159"/>
      <c r="I63" s="159"/>
      <c r="J63" s="159"/>
      <c r="K63" s="159"/>
      <c r="L63" s="159"/>
      <c r="M63" s="159"/>
      <c r="N63" s="159"/>
      <c r="O63" s="159"/>
      <c r="P63" s="159"/>
      <c r="Q63" s="159"/>
      <c r="R63" s="159"/>
      <c r="S63" s="159"/>
      <c r="T63" s="159"/>
      <c r="U63" s="159"/>
      <c r="V63" s="160"/>
      <c r="W63" s="139" t="str">
        <f>IF(Eingabe!E6="","",Eingabe!E6)</f>
        <v>Entwicklerboard</v>
      </c>
      <c r="X63" s="140"/>
      <c r="Y63" s="140"/>
      <c r="Z63" s="140"/>
      <c r="AA63" s="140"/>
      <c r="AB63" s="140"/>
      <c r="AC63" s="140"/>
      <c r="AD63" s="140"/>
      <c r="AE63" s="140"/>
      <c r="AF63" s="140"/>
      <c r="AG63" s="140"/>
      <c r="AH63" s="140"/>
      <c r="AI63" s="140"/>
      <c r="AJ63" s="140"/>
      <c r="AK63" s="140"/>
      <c r="AL63" s="140"/>
      <c r="AM63" s="140"/>
      <c r="AN63" s="140"/>
      <c r="AO63" s="140"/>
      <c r="AP63" s="140"/>
      <c r="AQ63" s="140"/>
      <c r="AR63" s="141"/>
      <c r="AS63" s="152" t="str">
        <f>IF(Eingabe!L6="","",Eingabe!L6)</f>
        <v>ohne</v>
      </c>
      <c r="AT63" s="153"/>
      <c r="AU63" s="153"/>
      <c r="AV63" s="154"/>
      <c r="AW63" s="167" t="str">
        <f>IF(Eingabe!I6="","",Eingabe!I6)</f>
        <v>DE</v>
      </c>
      <c r="AX63" s="168"/>
      <c r="AY63" s="169"/>
      <c r="AZ63" s="204">
        <f ca="1">IF(Eingabe!L2="","",Eingabe!L2)</f>
        <v>42272</v>
      </c>
      <c r="BA63" s="205"/>
      <c r="BB63" s="205"/>
      <c r="BC63" s="205"/>
      <c r="BD63" s="205"/>
      <c r="BE63" s="205"/>
      <c r="BF63" s="205"/>
      <c r="BG63" s="205"/>
      <c r="BH63" s="206"/>
      <c r="BI63" s="152">
        <v>2</v>
      </c>
      <c r="BJ63" s="153"/>
      <c r="BK63" s="154"/>
      <c r="BL63" s="152" t="str">
        <f>IF('Materialkalkulation (2)'!L4="","1",IF('Materialkalkulation (3)'!L4="","2","3"))</f>
        <v>1</v>
      </c>
      <c r="BM63" s="153"/>
      <c r="BN63" s="154"/>
    </row>
    <row r="64" spans="1:256" ht="10.5" customHeight="1" thickBot="1" x14ac:dyDescent="0.25">
      <c r="A64" s="161"/>
      <c r="B64" s="162"/>
      <c r="C64" s="162"/>
      <c r="D64" s="162"/>
      <c r="E64" s="162"/>
      <c r="F64" s="162"/>
      <c r="G64" s="162"/>
      <c r="H64" s="162"/>
      <c r="I64" s="162"/>
      <c r="J64" s="162"/>
      <c r="K64" s="162"/>
      <c r="L64" s="162"/>
      <c r="M64" s="162"/>
      <c r="N64" s="162"/>
      <c r="O64" s="162"/>
      <c r="P64" s="162"/>
      <c r="Q64" s="162"/>
      <c r="R64" s="162"/>
      <c r="S64" s="162"/>
      <c r="T64" s="162"/>
      <c r="U64" s="162"/>
      <c r="V64" s="163"/>
      <c r="W64" s="142"/>
      <c r="X64" s="143"/>
      <c r="Y64" s="143"/>
      <c r="Z64" s="143"/>
      <c r="AA64" s="143"/>
      <c r="AB64" s="143"/>
      <c r="AC64" s="143"/>
      <c r="AD64" s="143"/>
      <c r="AE64" s="143"/>
      <c r="AF64" s="143"/>
      <c r="AG64" s="143"/>
      <c r="AH64" s="143"/>
      <c r="AI64" s="143"/>
      <c r="AJ64" s="143"/>
      <c r="AK64" s="143"/>
      <c r="AL64" s="143"/>
      <c r="AM64" s="143"/>
      <c r="AN64" s="143"/>
      <c r="AO64" s="143"/>
      <c r="AP64" s="143"/>
      <c r="AQ64" s="143"/>
      <c r="AR64" s="144"/>
      <c r="AS64" s="155"/>
      <c r="AT64" s="156"/>
      <c r="AU64" s="156"/>
      <c r="AV64" s="157"/>
      <c r="AW64" s="170"/>
      <c r="AX64" s="171"/>
      <c r="AY64" s="172"/>
      <c r="AZ64" s="207"/>
      <c r="BA64" s="208"/>
      <c r="BB64" s="208"/>
      <c r="BC64" s="208"/>
      <c r="BD64" s="208"/>
      <c r="BE64" s="208"/>
      <c r="BF64" s="208"/>
      <c r="BG64" s="208"/>
      <c r="BH64" s="209"/>
      <c r="BI64" s="155"/>
      <c r="BJ64" s="156"/>
      <c r="BK64" s="157"/>
      <c r="BL64" s="155"/>
      <c r="BM64" s="156"/>
      <c r="BN64" s="15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sheet="1" objects="1" scenarios="1" selectLockedCells="1"/>
  <mergeCells count="379">
    <mergeCell ref="BJ40:BN40"/>
    <mergeCell ref="AH38:BD38"/>
    <mergeCell ref="BE36:BI36"/>
    <mergeCell ref="AH36:BD36"/>
    <mergeCell ref="BJ36:BN36"/>
    <mergeCell ref="AH37:BD37"/>
    <mergeCell ref="AH39:BD39"/>
    <mergeCell ref="BE15:BI15"/>
    <mergeCell ref="BJ15:BN15"/>
    <mergeCell ref="BJ13:BN13"/>
    <mergeCell ref="AH14:BD14"/>
    <mergeCell ref="BE14:BI14"/>
    <mergeCell ref="BE37:BI37"/>
    <mergeCell ref="BJ39:BN39"/>
    <mergeCell ref="BE39:BI39"/>
    <mergeCell ref="BE38:BI38"/>
    <mergeCell ref="BJ33:BN33"/>
    <mergeCell ref="BJ37:BN37"/>
    <mergeCell ref="AH35:BD35"/>
    <mergeCell ref="BE35:BI35"/>
    <mergeCell ref="BJ35:BN35"/>
    <mergeCell ref="AH34:BD34"/>
    <mergeCell ref="BJ34:BN34"/>
    <mergeCell ref="BE33:BI33"/>
    <mergeCell ref="BE16:BI16"/>
    <mergeCell ref="BJ16:BN16"/>
    <mergeCell ref="BJ27:BN27"/>
    <mergeCell ref="BJ29:BN29"/>
    <mergeCell ref="BE29:BI29"/>
    <mergeCell ref="AH28:BD28"/>
    <mergeCell ref="BE28:BI28"/>
    <mergeCell ref="AH25:BD25"/>
    <mergeCell ref="BE25:BI25"/>
    <mergeCell ref="BJ25:BN25"/>
    <mergeCell ref="BJ26:BN26"/>
    <mergeCell ref="BE27:BI27"/>
    <mergeCell ref="AH27:BD27"/>
    <mergeCell ref="BJ17:BN17"/>
    <mergeCell ref="BE32:BI32"/>
    <mergeCell ref="BJ32:BN32"/>
    <mergeCell ref="BJ14:BN14"/>
    <mergeCell ref="AH16:BD16"/>
    <mergeCell ref="AH13:BD13"/>
    <mergeCell ref="AH32:BD32"/>
    <mergeCell ref="AH22:BD22"/>
    <mergeCell ref="BE22:BI22"/>
    <mergeCell ref="BE24:BI24"/>
    <mergeCell ref="BE20:BI20"/>
    <mergeCell ref="BE21:BI21"/>
    <mergeCell ref="BJ18:BN18"/>
    <mergeCell ref="BJ21:BN21"/>
    <mergeCell ref="BJ22:BN22"/>
    <mergeCell ref="BJ19:BN19"/>
    <mergeCell ref="AH19:BD19"/>
    <mergeCell ref="BE19:BI19"/>
    <mergeCell ref="AH26:BD26"/>
    <mergeCell ref="BE26:BI26"/>
    <mergeCell ref="BJ20:BN20"/>
    <mergeCell ref="AH21:BD21"/>
    <mergeCell ref="BE13:BI13"/>
    <mergeCell ref="BJ28:BN28"/>
    <mergeCell ref="AH29:BD29"/>
    <mergeCell ref="A1:C1"/>
    <mergeCell ref="D1:G1"/>
    <mergeCell ref="H1:K1"/>
    <mergeCell ref="L1:AG1"/>
    <mergeCell ref="A2:C3"/>
    <mergeCell ref="AH18:BD18"/>
    <mergeCell ref="BE6:BI6"/>
    <mergeCell ref="AH10:BD10"/>
    <mergeCell ref="BE10:BI10"/>
    <mergeCell ref="BE3:BI3"/>
    <mergeCell ref="D5:G5"/>
    <mergeCell ref="A4:C4"/>
    <mergeCell ref="AH1:BD1"/>
    <mergeCell ref="BE1:BN1"/>
    <mergeCell ref="D4:G4"/>
    <mergeCell ref="H4:K4"/>
    <mergeCell ref="L4:AG4"/>
    <mergeCell ref="A15:C15"/>
    <mergeCell ref="D15:G15"/>
    <mergeCell ref="H15:K15"/>
    <mergeCell ref="L15:AG15"/>
    <mergeCell ref="A5:C5"/>
    <mergeCell ref="BJ11:BN11"/>
    <mergeCell ref="AH8:BD8"/>
    <mergeCell ref="BJ3:BN3"/>
    <mergeCell ref="BE18:BI18"/>
    <mergeCell ref="AH17:BD17"/>
    <mergeCell ref="BE17:BI17"/>
    <mergeCell ref="AH20:BD20"/>
    <mergeCell ref="BJ6:BN6"/>
    <mergeCell ref="BJ10:BN10"/>
    <mergeCell ref="AH11:BD11"/>
    <mergeCell ref="BE11:BI11"/>
    <mergeCell ref="BJ5:BN5"/>
    <mergeCell ref="BE4:BI4"/>
    <mergeCell ref="BJ4:BN4"/>
    <mergeCell ref="AH2:BD3"/>
    <mergeCell ref="BE5:BI5"/>
    <mergeCell ref="BE2:BN2"/>
    <mergeCell ref="BE7:BI7"/>
    <mergeCell ref="BJ7:BN7"/>
    <mergeCell ref="BE12:BI12"/>
    <mergeCell ref="BJ12:BN12"/>
    <mergeCell ref="BE8:BI8"/>
    <mergeCell ref="BJ8:BN8"/>
    <mergeCell ref="AH9:BD9"/>
    <mergeCell ref="BE9:BI9"/>
    <mergeCell ref="BJ9:BN9"/>
    <mergeCell ref="D29:G29"/>
    <mergeCell ref="H29:K29"/>
    <mergeCell ref="D27:G27"/>
    <mergeCell ref="D2:G3"/>
    <mergeCell ref="H2:K3"/>
    <mergeCell ref="L2:AG3"/>
    <mergeCell ref="H5:K5"/>
    <mergeCell ref="L5:AG5"/>
    <mergeCell ref="AH12:BD12"/>
    <mergeCell ref="AH4:BD4"/>
    <mergeCell ref="AH5:BD5"/>
    <mergeCell ref="AH6:BD6"/>
    <mergeCell ref="AH7:BD7"/>
    <mergeCell ref="H6:K6"/>
    <mergeCell ref="L6:AG6"/>
    <mergeCell ref="H12:K12"/>
    <mergeCell ref="L12:AG12"/>
    <mergeCell ref="D8:G8"/>
    <mergeCell ref="H8:K8"/>
    <mergeCell ref="L8:AG8"/>
    <mergeCell ref="AH15:BD15"/>
    <mergeCell ref="BE47:BI47"/>
    <mergeCell ref="A49:AG52"/>
    <mergeCell ref="BJ48:BN48"/>
    <mergeCell ref="L33:AG33"/>
    <mergeCell ref="A31:C31"/>
    <mergeCell ref="D31:G31"/>
    <mergeCell ref="H31:K31"/>
    <mergeCell ref="A6:C6"/>
    <mergeCell ref="D6:G6"/>
    <mergeCell ref="A16:C16"/>
    <mergeCell ref="D16:G16"/>
    <mergeCell ref="H16:K16"/>
    <mergeCell ref="L16:AG16"/>
    <mergeCell ref="L31:AG31"/>
    <mergeCell ref="A32:C32"/>
    <mergeCell ref="D32:G32"/>
    <mergeCell ref="H32:K32"/>
    <mergeCell ref="L29:AG29"/>
    <mergeCell ref="A27:C27"/>
    <mergeCell ref="A28:C28"/>
    <mergeCell ref="D28:G28"/>
    <mergeCell ref="H28:K28"/>
    <mergeCell ref="L28:AG28"/>
    <mergeCell ref="A29:C29"/>
    <mergeCell ref="H47:K47"/>
    <mergeCell ref="L47:AG47"/>
    <mergeCell ref="AG57:AJ58"/>
    <mergeCell ref="A56:V60"/>
    <mergeCell ref="AG56:AJ56"/>
    <mergeCell ref="A53:V53"/>
    <mergeCell ref="W53:AR53"/>
    <mergeCell ref="H48:K48"/>
    <mergeCell ref="W59:AR59"/>
    <mergeCell ref="W60:AR62"/>
    <mergeCell ref="AK57:AN58"/>
    <mergeCell ref="AO57:AR58"/>
    <mergeCell ref="AH50:BD50"/>
    <mergeCell ref="AH52:BD52"/>
    <mergeCell ref="AH47:BD47"/>
    <mergeCell ref="AS54:BA55"/>
    <mergeCell ref="AZ59:BD59"/>
    <mergeCell ref="BJ47:BN47"/>
    <mergeCell ref="BE43:BI43"/>
    <mergeCell ref="BJ43:BN43"/>
    <mergeCell ref="AH46:BD46"/>
    <mergeCell ref="AS59:AY59"/>
    <mergeCell ref="AS63:AV64"/>
    <mergeCell ref="L37:AG37"/>
    <mergeCell ref="BI57:BN58"/>
    <mergeCell ref="A54:V55"/>
    <mergeCell ref="W54:AR55"/>
    <mergeCell ref="AK56:AN56"/>
    <mergeCell ref="AO56:AR56"/>
    <mergeCell ref="W57:AF58"/>
    <mergeCell ref="BE41:BI41"/>
    <mergeCell ref="BJ41:BN41"/>
    <mergeCell ref="BJ42:BN42"/>
    <mergeCell ref="BJ38:BN38"/>
    <mergeCell ref="BE42:BI42"/>
    <mergeCell ref="BI63:BK64"/>
    <mergeCell ref="BL63:BN64"/>
    <mergeCell ref="AS62:AV62"/>
    <mergeCell ref="AW62:AY62"/>
    <mergeCell ref="BE50:BN50"/>
    <mergeCell ref="AZ62:BH62"/>
    <mergeCell ref="A48:C48"/>
    <mergeCell ref="D48:G48"/>
    <mergeCell ref="AH48:BD48"/>
    <mergeCell ref="BB53:BN53"/>
    <mergeCell ref="AS53:BA53"/>
    <mergeCell ref="W56:AF56"/>
    <mergeCell ref="AS60:AY61"/>
    <mergeCell ref="AS56:BH56"/>
    <mergeCell ref="AZ60:BD61"/>
    <mergeCell ref="BE52:BN52"/>
    <mergeCell ref="BE48:BI48"/>
    <mergeCell ref="BI56:BN56"/>
    <mergeCell ref="BE59:BN59"/>
    <mergeCell ref="A63:V64"/>
    <mergeCell ref="W63:AR64"/>
    <mergeCell ref="AW63:AY64"/>
    <mergeCell ref="AZ63:BH64"/>
    <mergeCell ref="BE60:BN61"/>
    <mergeCell ref="BB54:BN55"/>
    <mergeCell ref="A61:V62"/>
    <mergeCell ref="AH51:BD51"/>
    <mergeCell ref="AH49:BD49"/>
    <mergeCell ref="AS57:BH58"/>
    <mergeCell ref="BI62:BK62"/>
    <mergeCell ref="BE51:BN51"/>
    <mergeCell ref="BE49:BN49"/>
    <mergeCell ref="BJ45:BN45"/>
    <mergeCell ref="A47:C47"/>
    <mergeCell ref="BE45:BI45"/>
    <mergeCell ref="L48:AG48"/>
    <mergeCell ref="D47:G47"/>
    <mergeCell ref="BE44:BI44"/>
    <mergeCell ref="BJ44:BN44"/>
    <mergeCell ref="A46:C46"/>
    <mergeCell ref="D46:G46"/>
    <mergeCell ref="H46:K46"/>
    <mergeCell ref="BJ46:BN46"/>
    <mergeCell ref="BE46:BI46"/>
    <mergeCell ref="A44:C44"/>
    <mergeCell ref="D44:G44"/>
    <mergeCell ref="H44:K44"/>
    <mergeCell ref="L46:AG46"/>
    <mergeCell ref="A45:C45"/>
    <mergeCell ref="D45:G45"/>
    <mergeCell ref="H45:K45"/>
    <mergeCell ref="L45:AG45"/>
    <mergeCell ref="AH45:BD45"/>
    <mergeCell ref="AH44:BD44"/>
    <mergeCell ref="L44:AG44"/>
    <mergeCell ref="A43:C43"/>
    <mergeCell ref="BE40:BI40"/>
    <mergeCell ref="A41:C41"/>
    <mergeCell ref="D41:G41"/>
    <mergeCell ref="H41:K41"/>
    <mergeCell ref="L41:AG41"/>
    <mergeCell ref="A42:C42"/>
    <mergeCell ref="D42:G42"/>
    <mergeCell ref="L42:AG42"/>
    <mergeCell ref="H42:K42"/>
    <mergeCell ref="AH42:BD42"/>
    <mergeCell ref="A40:C40"/>
    <mergeCell ref="D40:G40"/>
    <mergeCell ref="H40:K40"/>
    <mergeCell ref="L40:AG40"/>
    <mergeCell ref="AH40:BD40"/>
    <mergeCell ref="D43:G43"/>
    <mergeCell ref="H43:K43"/>
    <mergeCell ref="L43:AG43"/>
    <mergeCell ref="AH43:BD43"/>
    <mergeCell ref="AH41:BD41"/>
    <mergeCell ref="A35:C35"/>
    <mergeCell ref="BE34:BI34"/>
    <mergeCell ref="AH31:BD31"/>
    <mergeCell ref="BE31:BI31"/>
    <mergeCell ref="BJ31:BN31"/>
    <mergeCell ref="A30:C30"/>
    <mergeCell ref="D30:G30"/>
    <mergeCell ref="H30:K30"/>
    <mergeCell ref="L30:AG30"/>
    <mergeCell ref="L32:AG32"/>
    <mergeCell ref="AH30:BD30"/>
    <mergeCell ref="BE30:BI30"/>
    <mergeCell ref="BJ30:BN30"/>
    <mergeCell ref="A34:C34"/>
    <mergeCell ref="D34:G34"/>
    <mergeCell ref="H34:K34"/>
    <mergeCell ref="L34:AG34"/>
    <mergeCell ref="A33:C33"/>
    <mergeCell ref="D33:G33"/>
    <mergeCell ref="H33:K33"/>
    <mergeCell ref="AH33:BD33"/>
    <mergeCell ref="D35:G35"/>
    <mergeCell ref="H35:K35"/>
    <mergeCell ref="L35:AG35"/>
    <mergeCell ref="A38:C38"/>
    <mergeCell ref="A36:C36"/>
    <mergeCell ref="L36:AG36"/>
    <mergeCell ref="D38:G38"/>
    <mergeCell ref="D36:G36"/>
    <mergeCell ref="H38:K38"/>
    <mergeCell ref="L38:AG38"/>
    <mergeCell ref="H36:K36"/>
    <mergeCell ref="A39:C39"/>
    <mergeCell ref="D39:G39"/>
    <mergeCell ref="H39:K39"/>
    <mergeCell ref="A37:C37"/>
    <mergeCell ref="D37:G37"/>
    <mergeCell ref="H37:K37"/>
    <mergeCell ref="L39:AG39"/>
    <mergeCell ref="H27:K27"/>
    <mergeCell ref="L27:AG27"/>
    <mergeCell ref="A18:C18"/>
    <mergeCell ref="L18:AG18"/>
    <mergeCell ref="L21:AG21"/>
    <mergeCell ref="H22:K22"/>
    <mergeCell ref="L22:AG22"/>
    <mergeCell ref="A22:C22"/>
    <mergeCell ref="D22:G22"/>
    <mergeCell ref="A23:C23"/>
    <mergeCell ref="D23:G23"/>
    <mergeCell ref="H23:K23"/>
    <mergeCell ref="L19:AG19"/>
    <mergeCell ref="D20:G20"/>
    <mergeCell ref="H21:K21"/>
    <mergeCell ref="A19:C19"/>
    <mergeCell ref="D19:G19"/>
    <mergeCell ref="H19:K19"/>
    <mergeCell ref="D26:G26"/>
    <mergeCell ref="H26:K26"/>
    <mergeCell ref="L26:AG26"/>
    <mergeCell ref="A24:C24"/>
    <mergeCell ref="D24:G24"/>
    <mergeCell ref="H24:K24"/>
    <mergeCell ref="L24:AG24"/>
    <mergeCell ref="BJ23:BN23"/>
    <mergeCell ref="A20:C20"/>
    <mergeCell ref="BJ24:BN24"/>
    <mergeCell ref="AH24:BD24"/>
    <mergeCell ref="A26:C26"/>
    <mergeCell ref="H20:K20"/>
    <mergeCell ref="L20:AG20"/>
    <mergeCell ref="L23:AG23"/>
    <mergeCell ref="AH23:BD23"/>
    <mergeCell ref="BE23:BI23"/>
    <mergeCell ref="A25:C25"/>
    <mergeCell ref="D25:G25"/>
    <mergeCell ref="H25:K25"/>
    <mergeCell ref="L25:AG25"/>
    <mergeCell ref="A21:C21"/>
    <mergeCell ref="D21:G21"/>
    <mergeCell ref="A13:C13"/>
    <mergeCell ref="A7:C7"/>
    <mergeCell ref="D7:G7"/>
    <mergeCell ref="H7:K7"/>
    <mergeCell ref="L7:AG7"/>
    <mergeCell ref="A8:C8"/>
    <mergeCell ref="L17:AG17"/>
    <mergeCell ref="D18:G18"/>
    <mergeCell ref="H18:K18"/>
    <mergeCell ref="H9:K9"/>
    <mergeCell ref="L9:AG9"/>
    <mergeCell ref="A17:C17"/>
    <mergeCell ref="D17:G17"/>
    <mergeCell ref="H17:K17"/>
    <mergeCell ref="A14:C14"/>
    <mergeCell ref="D14:G14"/>
    <mergeCell ref="H14:K14"/>
    <mergeCell ref="L14:AG14"/>
    <mergeCell ref="D10:G10"/>
    <mergeCell ref="H10:K10"/>
    <mergeCell ref="D13:G13"/>
    <mergeCell ref="H13:K13"/>
    <mergeCell ref="H11:K11"/>
    <mergeCell ref="L13:AG13"/>
    <mergeCell ref="A10:C10"/>
    <mergeCell ref="A12:C12"/>
    <mergeCell ref="D12:G12"/>
    <mergeCell ref="A9:C9"/>
    <mergeCell ref="D9:G9"/>
    <mergeCell ref="A11:C11"/>
    <mergeCell ref="L10:AG10"/>
    <mergeCell ref="D11:G11"/>
    <mergeCell ref="L11:AG11"/>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78"/>
  <sheetViews>
    <sheetView view="pageBreakPreview" zoomScale="89" zoomScaleNormal="85" zoomScaleSheetLayoutView="89" workbookViewId="0">
      <selection activeCell="A4" sqref="A4:G4"/>
    </sheetView>
  </sheetViews>
  <sheetFormatPr baseColWidth="10" defaultColWidth="10.625" defaultRowHeight="14.25" x14ac:dyDescent="0.2"/>
  <cols>
    <col min="1" max="66" width="1.25" style="2" customWidth="1"/>
    <col min="67" max="16384" width="10.625" style="2"/>
  </cols>
  <sheetData>
    <row r="1" spans="1:256" s="13" customFormat="1" ht="12.75" customHeight="1" x14ac:dyDescent="0.2">
      <c r="A1" s="284">
        <v>1</v>
      </c>
      <c r="B1" s="285"/>
      <c r="C1" s="285"/>
      <c r="D1" s="285">
        <v>2</v>
      </c>
      <c r="E1" s="285"/>
      <c r="F1" s="285"/>
      <c r="G1" s="285"/>
      <c r="H1" s="285">
        <v>3</v>
      </c>
      <c r="I1" s="285"/>
      <c r="J1" s="285"/>
      <c r="K1" s="285"/>
      <c r="L1" s="285">
        <v>4</v>
      </c>
      <c r="M1" s="285"/>
      <c r="N1" s="285"/>
      <c r="O1" s="285"/>
      <c r="P1" s="285"/>
      <c r="Q1" s="285"/>
      <c r="R1" s="285"/>
      <c r="S1" s="285"/>
      <c r="T1" s="285"/>
      <c r="U1" s="285"/>
      <c r="V1" s="285"/>
      <c r="W1" s="285"/>
      <c r="X1" s="285"/>
      <c r="Y1" s="285"/>
      <c r="Z1" s="285"/>
      <c r="AA1" s="285"/>
      <c r="AB1" s="285"/>
      <c r="AC1" s="285"/>
      <c r="AD1" s="285"/>
      <c r="AE1" s="285"/>
      <c r="AF1" s="285"/>
      <c r="AG1" s="285"/>
      <c r="AH1" s="285">
        <v>5</v>
      </c>
      <c r="AI1" s="285"/>
      <c r="AJ1" s="285"/>
      <c r="AK1" s="285"/>
      <c r="AL1" s="285"/>
      <c r="AM1" s="285"/>
      <c r="AN1" s="285"/>
      <c r="AO1" s="285"/>
      <c r="AP1" s="285"/>
      <c r="AQ1" s="285"/>
      <c r="AR1" s="285"/>
      <c r="AS1" s="285"/>
      <c r="AT1" s="285"/>
      <c r="AU1" s="285"/>
      <c r="AV1" s="285"/>
      <c r="AW1" s="285"/>
      <c r="AX1" s="285"/>
      <c r="AY1" s="285"/>
      <c r="AZ1" s="285"/>
      <c r="BA1" s="285"/>
      <c r="BB1" s="285"/>
      <c r="BC1" s="285"/>
      <c r="BD1" s="285"/>
      <c r="BE1" s="285">
        <v>6</v>
      </c>
      <c r="BF1" s="285"/>
      <c r="BG1" s="285"/>
      <c r="BH1" s="285"/>
      <c r="BI1" s="285"/>
      <c r="BJ1" s="285"/>
      <c r="BK1" s="285"/>
      <c r="BL1" s="285"/>
      <c r="BM1" s="285"/>
      <c r="BN1" s="290"/>
      <c r="BO1" s="5"/>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row>
    <row r="2" spans="1:256" s="13" customFormat="1" ht="12.75" customHeight="1" x14ac:dyDescent="0.2">
      <c r="A2" s="286" t="str">
        <f>Eingabe!A7</f>
        <v>Lfd. 
Nr.</v>
      </c>
      <c r="B2" s="235"/>
      <c r="C2" s="235"/>
      <c r="D2" s="235" t="str">
        <f>Eingabe!B7</f>
        <v>Stück-
zahl</v>
      </c>
      <c r="E2" s="235"/>
      <c r="F2" s="235"/>
      <c r="G2" s="235"/>
      <c r="H2" s="235" t="str">
        <f>Eingabe!C7</f>
        <v>Ein-
heit</v>
      </c>
      <c r="I2" s="235"/>
      <c r="J2" s="235"/>
      <c r="K2" s="235"/>
      <c r="L2" s="287" t="str">
        <f>Eingabe!D7</f>
        <v>Benennung</v>
      </c>
      <c r="M2" s="287"/>
      <c r="N2" s="287"/>
      <c r="O2" s="287"/>
      <c r="P2" s="287"/>
      <c r="Q2" s="287"/>
      <c r="R2" s="287"/>
      <c r="S2" s="287"/>
      <c r="T2" s="287"/>
      <c r="U2" s="287"/>
      <c r="V2" s="287"/>
      <c r="W2" s="287"/>
      <c r="X2" s="287"/>
      <c r="Y2" s="287"/>
      <c r="Z2" s="287"/>
      <c r="AA2" s="287"/>
      <c r="AB2" s="287"/>
      <c r="AC2" s="287"/>
      <c r="AD2" s="287"/>
      <c r="AE2" s="287"/>
      <c r="AF2" s="287"/>
      <c r="AG2" s="287"/>
      <c r="AH2" s="287" t="str">
        <f>Eingabe!F7&amp;" / "&amp;Eingabe!G7</f>
        <v>Lieferant / Bestellnummer</v>
      </c>
      <c r="AI2" s="287"/>
      <c r="AJ2" s="287"/>
      <c r="AK2" s="287"/>
      <c r="AL2" s="287"/>
      <c r="AM2" s="287"/>
      <c r="AN2" s="287"/>
      <c r="AO2" s="287"/>
      <c r="AP2" s="287"/>
      <c r="AQ2" s="287"/>
      <c r="AR2" s="287"/>
      <c r="AS2" s="287"/>
      <c r="AT2" s="287"/>
      <c r="AU2" s="287"/>
      <c r="AV2" s="287"/>
      <c r="AW2" s="287"/>
      <c r="AX2" s="287"/>
      <c r="AY2" s="287"/>
      <c r="AZ2" s="287"/>
      <c r="BA2" s="287"/>
      <c r="BB2" s="287"/>
      <c r="BC2" s="287"/>
      <c r="BD2" s="287"/>
      <c r="BE2" s="287" t="s">
        <v>29</v>
      </c>
      <c r="BF2" s="287"/>
      <c r="BG2" s="287"/>
      <c r="BH2" s="287"/>
      <c r="BI2" s="287"/>
      <c r="BJ2" s="287"/>
      <c r="BK2" s="287"/>
      <c r="BL2" s="287"/>
      <c r="BM2" s="287"/>
      <c r="BN2" s="294"/>
      <c r="BO2" s="5"/>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c r="FN2" s="12"/>
      <c r="FO2" s="12"/>
      <c r="FP2" s="12"/>
      <c r="FQ2" s="12"/>
      <c r="FR2" s="12"/>
      <c r="FS2" s="12"/>
      <c r="FT2" s="12"/>
      <c r="FU2" s="12"/>
      <c r="FV2" s="12"/>
      <c r="FW2" s="12"/>
      <c r="FX2" s="12"/>
      <c r="FY2" s="12"/>
      <c r="FZ2" s="12"/>
      <c r="GA2" s="12"/>
      <c r="GB2" s="12"/>
      <c r="GC2" s="12"/>
      <c r="GD2" s="12"/>
      <c r="GE2" s="12"/>
      <c r="GF2" s="12"/>
      <c r="GG2" s="12"/>
      <c r="GH2" s="12"/>
      <c r="GI2" s="12"/>
      <c r="GJ2" s="12"/>
      <c r="GK2" s="12"/>
      <c r="GL2" s="12"/>
      <c r="GM2" s="12"/>
      <c r="GN2" s="12"/>
      <c r="GO2" s="12"/>
      <c r="GP2" s="12"/>
      <c r="GQ2" s="12"/>
      <c r="GR2" s="12"/>
      <c r="GS2" s="12"/>
      <c r="GT2" s="12"/>
      <c r="GU2" s="12"/>
      <c r="GV2" s="12"/>
      <c r="GW2" s="12"/>
      <c r="GX2" s="12"/>
      <c r="GY2" s="12"/>
      <c r="GZ2" s="12"/>
      <c r="HA2" s="12"/>
      <c r="HB2" s="12"/>
      <c r="HC2" s="12"/>
      <c r="HD2" s="12"/>
      <c r="HE2" s="12"/>
      <c r="HF2" s="12"/>
      <c r="HG2" s="12"/>
      <c r="HH2" s="12"/>
      <c r="HI2" s="12"/>
      <c r="HJ2" s="12"/>
      <c r="HK2" s="12"/>
      <c r="HL2" s="12"/>
      <c r="HM2" s="12"/>
      <c r="HN2" s="12"/>
      <c r="HO2" s="12"/>
      <c r="HP2" s="12"/>
      <c r="HQ2" s="12"/>
      <c r="HR2" s="12"/>
      <c r="HS2" s="12"/>
      <c r="HT2" s="12"/>
      <c r="HU2" s="12"/>
      <c r="HV2" s="12"/>
      <c r="HW2" s="12"/>
      <c r="HX2" s="12"/>
      <c r="HY2" s="12"/>
      <c r="HZ2" s="12"/>
      <c r="IA2" s="12"/>
      <c r="IB2" s="12"/>
      <c r="IC2" s="12"/>
      <c r="ID2" s="12"/>
      <c r="IE2" s="12"/>
      <c r="IF2" s="12"/>
      <c r="IG2" s="12"/>
      <c r="IH2" s="12"/>
      <c r="II2" s="12"/>
      <c r="IJ2" s="12"/>
      <c r="IK2" s="12"/>
      <c r="IL2" s="12"/>
      <c r="IM2" s="12"/>
      <c r="IN2" s="12"/>
      <c r="IO2" s="12"/>
      <c r="IP2" s="12"/>
      <c r="IQ2" s="12"/>
      <c r="IR2" s="12"/>
      <c r="IS2" s="12"/>
      <c r="IT2" s="12"/>
      <c r="IU2" s="12"/>
      <c r="IV2" s="12"/>
    </row>
    <row r="3" spans="1:256" s="13" customFormat="1" ht="12.75" customHeight="1" thickBot="1" x14ac:dyDescent="0.25">
      <c r="A3" s="231"/>
      <c r="B3" s="229"/>
      <c r="C3" s="229"/>
      <c r="D3" s="229"/>
      <c r="E3" s="229"/>
      <c r="F3" s="229"/>
      <c r="G3" s="229"/>
      <c r="H3" s="229"/>
      <c r="I3" s="229"/>
      <c r="J3" s="229"/>
      <c r="K3" s="229"/>
      <c r="L3" s="288"/>
      <c r="M3" s="288"/>
      <c r="N3" s="288"/>
      <c r="O3" s="288"/>
      <c r="P3" s="288"/>
      <c r="Q3" s="288"/>
      <c r="R3" s="288"/>
      <c r="S3" s="288"/>
      <c r="T3" s="288"/>
      <c r="U3" s="288"/>
      <c r="V3" s="288"/>
      <c r="W3" s="288"/>
      <c r="X3" s="288"/>
      <c r="Y3" s="288"/>
      <c r="Z3" s="288"/>
      <c r="AA3" s="288"/>
      <c r="AB3" s="288"/>
      <c r="AC3" s="288"/>
      <c r="AD3" s="288"/>
      <c r="AE3" s="288"/>
      <c r="AF3" s="288"/>
      <c r="AG3" s="288"/>
      <c r="AH3" s="288"/>
      <c r="AI3" s="288"/>
      <c r="AJ3" s="288"/>
      <c r="AK3" s="288"/>
      <c r="AL3" s="288"/>
      <c r="AM3" s="288"/>
      <c r="AN3" s="288"/>
      <c r="AO3" s="288"/>
      <c r="AP3" s="288"/>
      <c r="AQ3" s="288"/>
      <c r="AR3" s="288"/>
      <c r="AS3" s="288"/>
      <c r="AT3" s="288"/>
      <c r="AU3" s="288"/>
      <c r="AV3" s="288"/>
      <c r="AW3" s="288"/>
      <c r="AX3" s="288"/>
      <c r="AY3" s="288"/>
      <c r="AZ3" s="288"/>
      <c r="BA3" s="288"/>
      <c r="BB3" s="288"/>
      <c r="BC3" s="288"/>
      <c r="BD3" s="288"/>
      <c r="BE3" s="288" t="s">
        <v>30</v>
      </c>
      <c r="BF3" s="288"/>
      <c r="BG3" s="288"/>
      <c r="BH3" s="288"/>
      <c r="BI3" s="288"/>
      <c r="BJ3" s="288" t="s">
        <v>31</v>
      </c>
      <c r="BK3" s="288"/>
      <c r="BL3" s="288"/>
      <c r="BM3" s="288"/>
      <c r="BN3" s="293"/>
      <c r="BO3" s="5"/>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row>
    <row r="4" spans="1:256" s="11" customFormat="1" ht="12.75" customHeight="1" x14ac:dyDescent="0.2">
      <c r="A4" s="226" t="str">
        <f>IF(Eingabe!A98="","",Eingabe!A98)</f>
        <v/>
      </c>
      <c r="B4" s="227"/>
      <c r="C4" s="227"/>
      <c r="D4" s="227" t="str">
        <f>IF(Eingabe!B98="","",Eingabe!B98)</f>
        <v/>
      </c>
      <c r="E4" s="227"/>
      <c r="F4" s="227"/>
      <c r="G4" s="227"/>
      <c r="H4" s="223" t="str">
        <f>IF(Eingabe!C98="","",Eingabe!C98)</f>
        <v/>
      </c>
      <c r="I4" s="223"/>
      <c r="J4" s="223"/>
      <c r="K4" s="223"/>
      <c r="L4" s="245" t="str">
        <f>IF(Eingabe!D98="","",Eingabe!D98)</f>
        <v/>
      </c>
      <c r="M4" s="245"/>
      <c r="N4" s="245"/>
      <c r="O4" s="245"/>
      <c r="P4" s="245"/>
      <c r="Q4" s="245"/>
      <c r="R4" s="245"/>
      <c r="S4" s="245"/>
      <c r="T4" s="245"/>
      <c r="U4" s="245"/>
      <c r="V4" s="245"/>
      <c r="W4" s="245"/>
      <c r="X4" s="245"/>
      <c r="Y4" s="245"/>
      <c r="Z4" s="245"/>
      <c r="AA4" s="245"/>
      <c r="AB4" s="245"/>
      <c r="AC4" s="245"/>
      <c r="AD4" s="245"/>
      <c r="AE4" s="245"/>
      <c r="AF4" s="245"/>
      <c r="AG4" s="245"/>
      <c r="AH4" s="289" t="str">
        <f>IF(Eingabe!F98&amp;Eingabe!G98="","",Eingabe!F98&amp;"  /  "&amp;Eingabe!G98)</f>
        <v/>
      </c>
      <c r="AI4" s="289"/>
      <c r="AJ4" s="289"/>
      <c r="AK4" s="289"/>
      <c r="AL4" s="289"/>
      <c r="AM4" s="289"/>
      <c r="AN4" s="289"/>
      <c r="AO4" s="289"/>
      <c r="AP4" s="289"/>
      <c r="AQ4" s="289"/>
      <c r="AR4" s="289"/>
      <c r="AS4" s="289"/>
      <c r="AT4" s="289"/>
      <c r="AU4" s="289"/>
      <c r="AV4" s="289"/>
      <c r="AW4" s="289"/>
      <c r="AX4" s="289"/>
      <c r="AY4" s="289"/>
      <c r="AZ4" s="289"/>
      <c r="BA4" s="289"/>
      <c r="BB4" s="289"/>
      <c r="BC4" s="289"/>
      <c r="BD4" s="289"/>
      <c r="BE4" s="291" t="str">
        <f>IF(Eingabe!I98="","",Eingabe!I98)</f>
        <v/>
      </c>
      <c r="BF4" s="291"/>
      <c r="BG4" s="291"/>
      <c r="BH4" s="291"/>
      <c r="BI4" s="291"/>
      <c r="BJ4" s="291" t="str">
        <f>IF(Eingabe!I98="","",Eingabe!I98*Eingabe!B98)</f>
        <v/>
      </c>
      <c r="BK4" s="291"/>
      <c r="BL4" s="291"/>
      <c r="BM4" s="291"/>
      <c r="BN4" s="292"/>
      <c r="BO4" s="9"/>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row>
    <row r="5" spans="1:256" s="11" customFormat="1" ht="12.75" customHeight="1" x14ac:dyDescent="0.2">
      <c r="A5" s="222" t="str">
        <f>IF(Eingabe!A99="","",Eingabe!A99)</f>
        <v/>
      </c>
      <c r="B5" s="145"/>
      <c r="C5" s="145"/>
      <c r="D5" s="145" t="str">
        <f>IF(Eingabe!B99="","",Eingabe!B99)</f>
        <v/>
      </c>
      <c r="E5" s="145"/>
      <c r="F5" s="145"/>
      <c r="G5" s="145"/>
      <c r="H5" s="137" t="str">
        <f>IF(Eingabe!C99="","",Eingabe!C99)</f>
        <v/>
      </c>
      <c r="I5" s="137"/>
      <c r="J5" s="137"/>
      <c r="K5" s="137"/>
      <c r="L5" s="232" t="str">
        <f>IF(Eingabe!D99="","",Eingabe!D99)</f>
        <v/>
      </c>
      <c r="M5" s="232"/>
      <c r="N5" s="232"/>
      <c r="O5" s="232"/>
      <c r="P5" s="232"/>
      <c r="Q5" s="232"/>
      <c r="R5" s="232"/>
      <c r="S5" s="232"/>
      <c r="T5" s="232"/>
      <c r="U5" s="232"/>
      <c r="V5" s="232"/>
      <c r="W5" s="232"/>
      <c r="X5" s="232"/>
      <c r="Y5" s="232"/>
      <c r="Z5" s="232"/>
      <c r="AA5" s="232"/>
      <c r="AB5" s="232"/>
      <c r="AC5" s="232"/>
      <c r="AD5" s="232"/>
      <c r="AE5" s="232"/>
      <c r="AF5" s="232"/>
      <c r="AG5" s="232"/>
      <c r="AH5" s="251" t="str">
        <f>IF(Eingabe!F99&amp;Eingabe!G99="","",Eingabe!F99&amp;"  /  "&amp;Eingabe!G99)</f>
        <v/>
      </c>
      <c r="AI5" s="251"/>
      <c r="AJ5" s="251"/>
      <c r="AK5" s="251"/>
      <c r="AL5" s="251"/>
      <c r="AM5" s="251"/>
      <c r="AN5" s="251"/>
      <c r="AO5" s="251"/>
      <c r="AP5" s="251"/>
      <c r="AQ5" s="251"/>
      <c r="AR5" s="251"/>
      <c r="AS5" s="251"/>
      <c r="AT5" s="251"/>
      <c r="AU5" s="251"/>
      <c r="AV5" s="251"/>
      <c r="AW5" s="251"/>
      <c r="AX5" s="251"/>
      <c r="AY5" s="251"/>
      <c r="AZ5" s="251"/>
      <c r="BA5" s="251"/>
      <c r="BB5" s="251"/>
      <c r="BC5" s="251"/>
      <c r="BD5" s="251"/>
      <c r="BE5" s="246" t="str">
        <f>IF(Eingabe!I99="","",Eingabe!I99)</f>
        <v/>
      </c>
      <c r="BF5" s="246"/>
      <c r="BG5" s="246"/>
      <c r="BH5" s="246"/>
      <c r="BI5" s="246"/>
      <c r="BJ5" s="246" t="str">
        <f>IF(Eingabe!I99="","",Eingabe!I99*Eingabe!B99)</f>
        <v/>
      </c>
      <c r="BK5" s="246"/>
      <c r="BL5" s="246"/>
      <c r="BM5" s="246"/>
      <c r="BN5" s="247"/>
      <c r="BO5" s="9"/>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row>
    <row r="6" spans="1:256" s="11" customFormat="1" ht="12.75" customHeight="1" x14ac:dyDescent="0.2">
      <c r="A6" s="222" t="str">
        <f>IF(Eingabe!A100="","",Eingabe!A100)</f>
        <v/>
      </c>
      <c r="B6" s="145"/>
      <c r="C6" s="145"/>
      <c r="D6" s="145" t="str">
        <f>IF(Eingabe!B100="","",Eingabe!B100)</f>
        <v/>
      </c>
      <c r="E6" s="145"/>
      <c r="F6" s="145"/>
      <c r="G6" s="145"/>
      <c r="H6" s="137" t="str">
        <f>IF(Eingabe!C100="","",Eingabe!C100)</f>
        <v/>
      </c>
      <c r="I6" s="137"/>
      <c r="J6" s="137"/>
      <c r="K6" s="137"/>
      <c r="L6" s="232" t="str">
        <f>IF(Eingabe!D100="","",Eingabe!D100)</f>
        <v/>
      </c>
      <c r="M6" s="232"/>
      <c r="N6" s="232"/>
      <c r="O6" s="232"/>
      <c r="P6" s="232"/>
      <c r="Q6" s="232"/>
      <c r="R6" s="232"/>
      <c r="S6" s="232"/>
      <c r="T6" s="232"/>
      <c r="U6" s="232"/>
      <c r="V6" s="232"/>
      <c r="W6" s="232"/>
      <c r="X6" s="232"/>
      <c r="Y6" s="232"/>
      <c r="Z6" s="232"/>
      <c r="AA6" s="232"/>
      <c r="AB6" s="232"/>
      <c r="AC6" s="232"/>
      <c r="AD6" s="232"/>
      <c r="AE6" s="232"/>
      <c r="AF6" s="232"/>
      <c r="AG6" s="232"/>
      <c r="AH6" s="251" t="str">
        <f>IF(Eingabe!F100&amp;Eingabe!G100="","",Eingabe!F100&amp;"  /  "&amp;Eingabe!G100)</f>
        <v/>
      </c>
      <c r="AI6" s="251"/>
      <c r="AJ6" s="251"/>
      <c r="AK6" s="251"/>
      <c r="AL6" s="251"/>
      <c r="AM6" s="251"/>
      <c r="AN6" s="251"/>
      <c r="AO6" s="251"/>
      <c r="AP6" s="251"/>
      <c r="AQ6" s="251"/>
      <c r="AR6" s="251"/>
      <c r="AS6" s="251"/>
      <c r="AT6" s="251"/>
      <c r="AU6" s="251"/>
      <c r="AV6" s="251"/>
      <c r="AW6" s="251"/>
      <c r="AX6" s="251"/>
      <c r="AY6" s="251"/>
      <c r="AZ6" s="251"/>
      <c r="BA6" s="251"/>
      <c r="BB6" s="251"/>
      <c r="BC6" s="251"/>
      <c r="BD6" s="251"/>
      <c r="BE6" s="246" t="str">
        <f>IF(Eingabe!I100="","",Eingabe!I100)</f>
        <v/>
      </c>
      <c r="BF6" s="246"/>
      <c r="BG6" s="246"/>
      <c r="BH6" s="246"/>
      <c r="BI6" s="246"/>
      <c r="BJ6" s="246" t="str">
        <f>IF(Eingabe!I100="","",Eingabe!I100*Eingabe!B100)</f>
        <v/>
      </c>
      <c r="BK6" s="246"/>
      <c r="BL6" s="246"/>
      <c r="BM6" s="246"/>
      <c r="BN6" s="247"/>
      <c r="BO6" s="9"/>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c r="DT6" s="10"/>
      <c r="DU6" s="10"/>
      <c r="DV6" s="10"/>
      <c r="DW6" s="10"/>
      <c r="DX6" s="10"/>
      <c r="DY6" s="10"/>
      <c r="DZ6" s="10"/>
      <c r="EA6" s="10"/>
      <c r="EB6" s="10"/>
      <c r="EC6" s="10"/>
      <c r="ED6" s="10"/>
      <c r="EE6" s="10"/>
      <c r="EF6" s="10"/>
      <c r="EG6" s="10"/>
      <c r="EH6" s="10"/>
      <c r="EI6" s="10"/>
      <c r="EJ6" s="10"/>
      <c r="EK6" s="10"/>
      <c r="EL6" s="10"/>
      <c r="EM6" s="10"/>
      <c r="EN6" s="10"/>
      <c r="EO6" s="10"/>
      <c r="EP6" s="10"/>
      <c r="EQ6" s="10"/>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P6" s="10"/>
      <c r="HQ6" s="10"/>
      <c r="HR6" s="10"/>
      <c r="HS6" s="10"/>
      <c r="HT6" s="10"/>
      <c r="HU6" s="10"/>
      <c r="HV6" s="10"/>
      <c r="HW6" s="10"/>
      <c r="HX6" s="10"/>
      <c r="HY6" s="10"/>
      <c r="HZ6" s="10"/>
      <c r="IA6" s="10"/>
      <c r="IB6" s="10"/>
      <c r="IC6" s="10"/>
      <c r="ID6" s="10"/>
      <c r="IE6" s="10"/>
      <c r="IF6" s="10"/>
      <c r="IG6" s="10"/>
      <c r="IH6" s="10"/>
      <c r="II6" s="10"/>
      <c r="IJ6" s="10"/>
      <c r="IK6" s="10"/>
      <c r="IL6" s="10"/>
      <c r="IM6" s="10"/>
      <c r="IN6" s="10"/>
      <c r="IO6" s="10"/>
      <c r="IP6" s="10"/>
      <c r="IQ6" s="10"/>
      <c r="IR6" s="10"/>
      <c r="IS6" s="10"/>
      <c r="IT6" s="10"/>
      <c r="IU6" s="10"/>
      <c r="IV6" s="10"/>
    </row>
    <row r="7" spans="1:256" s="11" customFormat="1" ht="12.75" customHeight="1" x14ac:dyDescent="0.2">
      <c r="A7" s="222" t="str">
        <f>IF(Eingabe!A101="","",Eingabe!A101)</f>
        <v/>
      </c>
      <c r="B7" s="145"/>
      <c r="C7" s="145"/>
      <c r="D7" s="145" t="str">
        <f>IF(Eingabe!B101="","",Eingabe!B101)</f>
        <v/>
      </c>
      <c r="E7" s="145"/>
      <c r="F7" s="145"/>
      <c r="G7" s="145"/>
      <c r="H7" s="137" t="str">
        <f>IF(Eingabe!C101="","",Eingabe!C101)</f>
        <v/>
      </c>
      <c r="I7" s="137"/>
      <c r="J7" s="137"/>
      <c r="K7" s="137"/>
      <c r="L7" s="232" t="str">
        <f>IF(Eingabe!D101="","",Eingabe!D101)</f>
        <v/>
      </c>
      <c r="M7" s="232"/>
      <c r="N7" s="232"/>
      <c r="O7" s="232"/>
      <c r="P7" s="232"/>
      <c r="Q7" s="232"/>
      <c r="R7" s="232"/>
      <c r="S7" s="232"/>
      <c r="T7" s="232"/>
      <c r="U7" s="232"/>
      <c r="V7" s="232"/>
      <c r="W7" s="232"/>
      <c r="X7" s="232"/>
      <c r="Y7" s="232"/>
      <c r="Z7" s="232"/>
      <c r="AA7" s="232"/>
      <c r="AB7" s="232"/>
      <c r="AC7" s="232"/>
      <c r="AD7" s="232"/>
      <c r="AE7" s="232"/>
      <c r="AF7" s="232"/>
      <c r="AG7" s="232"/>
      <c r="AH7" s="251" t="str">
        <f>IF(Eingabe!F101&amp;Eingabe!G101="","",Eingabe!F101&amp;"  /  "&amp;Eingabe!G101)</f>
        <v/>
      </c>
      <c r="AI7" s="251"/>
      <c r="AJ7" s="251"/>
      <c r="AK7" s="251"/>
      <c r="AL7" s="251"/>
      <c r="AM7" s="251"/>
      <c r="AN7" s="251"/>
      <c r="AO7" s="251"/>
      <c r="AP7" s="251"/>
      <c r="AQ7" s="251"/>
      <c r="AR7" s="251"/>
      <c r="AS7" s="251"/>
      <c r="AT7" s="251"/>
      <c r="AU7" s="251"/>
      <c r="AV7" s="251"/>
      <c r="AW7" s="251"/>
      <c r="AX7" s="251"/>
      <c r="AY7" s="251"/>
      <c r="AZ7" s="251"/>
      <c r="BA7" s="251"/>
      <c r="BB7" s="251"/>
      <c r="BC7" s="251"/>
      <c r="BD7" s="251"/>
      <c r="BE7" s="246" t="str">
        <f>IF(Eingabe!I101="","",Eingabe!I101)</f>
        <v/>
      </c>
      <c r="BF7" s="246"/>
      <c r="BG7" s="246"/>
      <c r="BH7" s="246"/>
      <c r="BI7" s="246"/>
      <c r="BJ7" s="246" t="str">
        <f>IF(Eingabe!I101="","",Eingabe!I101*Eingabe!B101)</f>
        <v/>
      </c>
      <c r="BK7" s="246"/>
      <c r="BL7" s="246"/>
      <c r="BM7" s="246"/>
      <c r="BN7" s="247"/>
      <c r="BO7" s="9"/>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c r="IV7" s="10"/>
    </row>
    <row r="8" spans="1:256" s="11" customFormat="1" ht="12.75" customHeight="1" x14ac:dyDescent="0.2">
      <c r="A8" s="222" t="str">
        <f>IF(Eingabe!A102="","",Eingabe!A102)</f>
        <v/>
      </c>
      <c r="B8" s="145"/>
      <c r="C8" s="145"/>
      <c r="D8" s="145" t="str">
        <f>IF(Eingabe!B102="","",Eingabe!B102)</f>
        <v/>
      </c>
      <c r="E8" s="145"/>
      <c r="F8" s="145"/>
      <c r="G8" s="145"/>
      <c r="H8" s="137" t="str">
        <f>IF(Eingabe!C102="","",Eingabe!C102)</f>
        <v/>
      </c>
      <c r="I8" s="137"/>
      <c r="J8" s="137"/>
      <c r="K8" s="137"/>
      <c r="L8" s="232" t="str">
        <f>IF(Eingabe!D102="","",Eingabe!D102)</f>
        <v/>
      </c>
      <c r="M8" s="232"/>
      <c r="N8" s="232"/>
      <c r="O8" s="232"/>
      <c r="P8" s="232"/>
      <c r="Q8" s="232"/>
      <c r="R8" s="232"/>
      <c r="S8" s="232"/>
      <c r="T8" s="232"/>
      <c r="U8" s="232"/>
      <c r="V8" s="232"/>
      <c r="W8" s="232"/>
      <c r="X8" s="232"/>
      <c r="Y8" s="232"/>
      <c r="Z8" s="232"/>
      <c r="AA8" s="232"/>
      <c r="AB8" s="232"/>
      <c r="AC8" s="232"/>
      <c r="AD8" s="232"/>
      <c r="AE8" s="232"/>
      <c r="AF8" s="232"/>
      <c r="AG8" s="232"/>
      <c r="AH8" s="251" t="str">
        <f>IF(Eingabe!F102&amp;Eingabe!G102="","",Eingabe!F102&amp;"  /  "&amp;Eingabe!G102)</f>
        <v/>
      </c>
      <c r="AI8" s="251"/>
      <c r="AJ8" s="251"/>
      <c r="AK8" s="251"/>
      <c r="AL8" s="251"/>
      <c r="AM8" s="251"/>
      <c r="AN8" s="251"/>
      <c r="AO8" s="251"/>
      <c r="AP8" s="251"/>
      <c r="AQ8" s="251"/>
      <c r="AR8" s="251"/>
      <c r="AS8" s="251"/>
      <c r="AT8" s="251"/>
      <c r="AU8" s="251"/>
      <c r="AV8" s="251"/>
      <c r="AW8" s="251"/>
      <c r="AX8" s="251"/>
      <c r="AY8" s="251"/>
      <c r="AZ8" s="251"/>
      <c r="BA8" s="251"/>
      <c r="BB8" s="251"/>
      <c r="BC8" s="251"/>
      <c r="BD8" s="251"/>
      <c r="BE8" s="246" t="str">
        <f>IF(Eingabe!I102="","",Eingabe!I102)</f>
        <v/>
      </c>
      <c r="BF8" s="246"/>
      <c r="BG8" s="246"/>
      <c r="BH8" s="246"/>
      <c r="BI8" s="246"/>
      <c r="BJ8" s="246" t="str">
        <f>IF(Eingabe!I102="","",Eingabe!I102*Eingabe!B102)</f>
        <v/>
      </c>
      <c r="BK8" s="246"/>
      <c r="BL8" s="246"/>
      <c r="BM8" s="246"/>
      <c r="BN8" s="247"/>
      <c r="BO8" s="9"/>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c r="IV8" s="10"/>
    </row>
    <row r="9" spans="1:256" s="11" customFormat="1" ht="12.75" customHeight="1" x14ac:dyDescent="0.2">
      <c r="A9" s="222" t="str">
        <f>IF(Eingabe!A103="","",Eingabe!A103)</f>
        <v/>
      </c>
      <c r="B9" s="145"/>
      <c r="C9" s="145"/>
      <c r="D9" s="145" t="str">
        <f>IF(Eingabe!B103="","",Eingabe!B103)</f>
        <v/>
      </c>
      <c r="E9" s="145"/>
      <c r="F9" s="145"/>
      <c r="G9" s="145"/>
      <c r="H9" s="137" t="str">
        <f>IF(Eingabe!C103="","",Eingabe!C103)</f>
        <v/>
      </c>
      <c r="I9" s="137"/>
      <c r="J9" s="137"/>
      <c r="K9" s="137"/>
      <c r="L9" s="232" t="str">
        <f>IF(Eingabe!D103="","",Eingabe!D103)</f>
        <v/>
      </c>
      <c r="M9" s="232"/>
      <c r="N9" s="232"/>
      <c r="O9" s="232"/>
      <c r="P9" s="232"/>
      <c r="Q9" s="232"/>
      <c r="R9" s="232"/>
      <c r="S9" s="232"/>
      <c r="T9" s="232"/>
      <c r="U9" s="232"/>
      <c r="V9" s="232"/>
      <c r="W9" s="232"/>
      <c r="X9" s="232"/>
      <c r="Y9" s="232"/>
      <c r="Z9" s="232"/>
      <c r="AA9" s="232"/>
      <c r="AB9" s="232"/>
      <c r="AC9" s="232"/>
      <c r="AD9" s="232"/>
      <c r="AE9" s="232"/>
      <c r="AF9" s="232"/>
      <c r="AG9" s="232"/>
      <c r="AH9" s="251" t="str">
        <f>IF(Eingabe!F103&amp;Eingabe!G103="","",Eingabe!F103&amp;"  /  "&amp;Eingabe!G103)</f>
        <v/>
      </c>
      <c r="AI9" s="251"/>
      <c r="AJ9" s="251"/>
      <c r="AK9" s="251"/>
      <c r="AL9" s="251"/>
      <c r="AM9" s="251"/>
      <c r="AN9" s="251"/>
      <c r="AO9" s="251"/>
      <c r="AP9" s="251"/>
      <c r="AQ9" s="251"/>
      <c r="AR9" s="251"/>
      <c r="AS9" s="251"/>
      <c r="AT9" s="251"/>
      <c r="AU9" s="251"/>
      <c r="AV9" s="251"/>
      <c r="AW9" s="251"/>
      <c r="AX9" s="251"/>
      <c r="AY9" s="251"/>
      <c r="AZ9" s="251"/>
      <c r="BA9" s="251"/>
      <c r="BB9" s="251"/>
      <c r="BC9" s="251"/>
      <c r="BD9" s="251"/>
      <c r="BE9" s="246" t="str">
        <f>IF(Eingabe!I103="","",Eingabe!I103)</f>
        <v/>
      </c>
      <c r="BF9" s="246"/>
      <c r="BG9" s="246"/>
      <c r="BH9" s="246"/>
      <c r="BI9" s="246"/>
      <c r="BJ9" s="246" t="str">
        <f>IF(Eingabe!I103="","",Eingabe!I103*Eingabe!B103)</f>
        <v/>
      </c>
      <c r="BK9" s="246"/>
      <c r="BL9" s="246"/>
      <c r="BM9" s="246"/>
      <c r="BN9" s="247"/>
      <c r="BO9" s="9"/>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c r="DT9" s="10"/>
      <c r="DU9" s="10"/>
      <c r="DV9" s="10"/>
      <c r="DW9" s="10"/>
      <c r="DX9" s="10"/>
      <c r="DY9" s="10"/>
      <c r="DZ9" s="10"/>
      <c r="EA9" s="10"/>
      <c r="EB9" s="10"/>
      <c r="EC9" s="10"/>
      <c r="ED9" s="10"/>
      <c r="EE9" s="10"/>
      <c r="EF9" s="10"/>
      <c r="EG9" s="10"/>
      <c r="EH9" s="10"/>
      <c r="EI9" s="10"/>
      <c r="EJ9" s="10"/>
      <c r="EK9" s="10"/>
      <c r="EL9" s="10"/>
      <c r="EM9" s="10"/>
      <c r="EN9" s="10"/>
      <c r="EO9" s="10"/>
      <c r="EP9" s="10"/>
      <c r="EQ9" s="10"/>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P9" s="10"/>
      <c r="HQ9" s="10"/>
      <c r="HR9" s="10"/>
      <c r="HS9" s="10"/>
      <c r="HT9" s="10"/>
      <c r="HU9" s="10"/>
      <c r="HV9" s="10"/>
      <c r="HW9" s="10"/>
      <c r="HX9" s="10"/>
      <c r="HY9" s="10"/>
      <c r="HZ9" s="10"/>
      <c r="IA9" s="10"/>
      <c r="IB9" s="10"/>
      <c r="IC9" s="10"/>
      <c r="ID9" s="10"/>
      <c r="IE9" s="10"/>
      <c r="IF9" s="10"/>
      <c r="IG9" s="10"/>
      <c r="IH9" s="10"/>
      <c r="II9" s="10"/>
      <c r="IJ9" s="10"/>
      <c r="IK9" s="10"/>
      <c r="IL9" s="10"/>
      <c r="IM9" s="10"/>
      <c r="IN9" s="10"/>
      <c r="IO9" s="10"/>
      <c r="IP9" s="10"/>
      <c r="IQ9" s="10"/>
      <c r="IR9" s="10"/>
      <c r="IS9" s="10"/>
      <c r="IT9" s="10"/>
      <c r="IU9" s="10"/>
      <c r="IV9" s="10"/>
    </row>
    <row r="10" spans="1:256" s="11" customFormat="1" ht="12.75" customHeight="1" x14ac:dyDescent="0.2">
      <c r="A10" s="222" t="str">
        <f>IF(Eingabe!A104="","",Eingabe!A104)</f>
        <v/>
      </c>
      <c r="B10" s="145"/>
      <c r="C10" s="145"/>
      <c r="D10" s="145" t="str">
        <f>IF(Eingabe!B104="","",Eingabe!B104)</f>
        <v/>
      </c>
      <c r="E10" s="145"/>
      <c r="F10" s="145"/>
      <c r="G10" s="145"/>
      <c r="H10" s="137" t="str">
        <f>IF(Eingabe!C104="","",Eingabe!C104)</f>
        <v/>
      </c>
      <c r="I10" s="137"/>
      <c r="J10" s="137"/>
      <c r="K10" s="137"/>
      <c r="L10" s="232" t="str">
        <f>IF(Eingabe!D104="","",Eingabe!D104)</f>
        <v/>
      </c>
      <c r="M10" s="232"/>
      <c r="N10" s="232"/>
      <c r="O10" s="232"/>
      <c r="P10" s="232"/>
      <c r="Q10" s="232"/>
      <c r="R10" s="232"/>
      <c r="S10" s="232"/>
      <c r="T10" s="232"/>
      <c r="U10" s="232"/>
      <c r="V10" s="232"/>
      <c r="W10" s="232"/>
      <c r="X10" s="232"/>
      <c r="Y10" s="232"/>
      <c r="Z10" s="232"/>
      <c r="AA10" s="232"/>
      <c r="AB10" s="232"/>
      <c r="AC10" s="232"/>
      <c r="AD10" s="232"/>
      <c r="AE10" s="232"/>
      <c r="AF10" s="232"/>
      <c r="AG10" s="232"/>
      <c r="AH10" s="251" t="str">
        <f>IF(Eingabe!F104&amp;Eingabe!G104="","",Eingabe!F104&amp;"  /  "&amp;Eingabe!G104)</f>
        <v/>
      </c>
      <c r="AI10" s="251"/>
      <c r="AJ10" s="251"/>
      <c r="AK10" s="251"/>
      <c r="AL10" s="251"/>
      <c r="AM10" s="251"/>
      <c r="AN10" s="251"/>
      <c r="AO10" s="251"/>
      <c r="AP10" s="251"/>
      <c r="AQ10" s="251"/>
      <c r="AR10" s="251"/>
      <c r="AS10" s="251"/>
      <c r="AT10" s="251"/>
      <c r="AU10" s="251"/>
      <c r="AV10" s="251"/>
      <c r="AW10" s="251"/>
      <c r="AX10" s="251"/>
      <c r="AY10" s="251"/>
      <c r="AZ10" s="251"/>
      <c r="BA10" s="251"/>
      <c r="BB10" s="251"/>
      <c r="BC10" s="251"/>
      <c r="BD10" s="251"/>
      <c r="BE10" s="246" t="str">
        <f>IF(Eingabe!I104="","",Eingabe!I104)</f>
        <v/>
      </c>
      <c r="BF10" s="246"/>
      <c r="BG10" s="246"/>
      <c r="BH10" s="246"/>
      <c r="BI10" s="246"/>
      <c r="BJ10" s="246" t="str">
        <f>IF(Eingabe!I104="","",Eingabe!I104*Eingabe!B104)</f>
        <v/>
      </c>
      <c r="BK10" s="246"/>
      <c r="BL10" s="246"/>
      <c r="BM10" s="246"/>
      <c r="BN10" s="247"/>
      <c r="BO10" s="9"/>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P10" s="10"/>
      <c r="HQ10" s="10"/>
      <c r="HR10" s="10"/>
      <c r="HS10" s="10"/>
      <c r="HT10" s="10"/>
      <c r="HU10" s="10"/>
      <c r="HV10" s="10"/>
      <c r="HW10" s="10"/>
      <c r="HX10" s="10"/>
      <c r="HY10" s="10"/>
      <c r="HZ10" s="10"/>
      <c r="IA10" s="10"/>
      <c r="IB10" s="10"/>
      <c r="IC10" s="10"/>
      <c r="ID10" s="10"/>
      <c r="IE10" s="10"/>
      <c r="IF10" s="10"/>
      <c r="IG10" s="10"/>
      <c r="IH10" s="10"/>
      <c r="II10" s="10"/>
      <c r="IJ10" s="10"/>
      <c r="IK10" s="10"/>
      <c r="IL10" s="10"/>
      <c r="IM10" s="10"/>
      <c r="IN10" s="10"/>
      <c r="IO10" s="10"/>
      <c r="IP10" s="10"/>
      <c r="IQ10" s="10"/>
      <c r="IR10" s="10"/>
      <c r="IS10" s="10"/>
      <c r="IT10" s="10"/>
      <c r="IU10" s="10"/>
      <c r="IV10" s="10"/>
    </row>
    <row r="11" spans="1:256" s="11" customFormat="1" ht="12.75" customHeight="1" x14ac:dyDescent="0.2">
      <c r="A11" s="222" t="str">
        <f>IF(Eingabe!A105="","",Eingabe!A105)</f>
        <v/>
      </c>
      <c r="B11" s="145"/>
      <c r="C11" s="145"/>
      <c r="D11" s="145" t="str">
        <f>IF(Eingabe!B105="","",Eingabe!B105)</f>
        <v/>
      </c>
      <c r="E11" s="145"/>
      <c r="F11" s="145"/>
      <c r="G11" s="145"/>
      <c r="H11" s="137" t="str">
        <f>IF(Eingabe!C105="","",Eingabe!C105)</f>
        <v/>
      </c>
      <c r="I11" s="137"/>
      <c r="J11" s="137"/>
      <c r="K11" s="137"/>
      <c r="L11" s="232" t="str">
        <f>IF(Eingabe!D105="","",Eingabe!D105)</f>
        <v/>
      </c>
      <c r="M11" s="232"/>
      <c r="N11" s="232"/>
      <c r="O11" s="232"/>
      <c r="P11" s="232"/>
      <c r="Q11" s="232"/>
      <c r="R11" s="232"/>
      <c r="S11" s="232"/>
      <c r="T11" s="232"/>
      <c r="U11" s="232"/>
      <c r="V11" s="232"/>
      <c r="W11" s="232"/>
      <c r="X11" s="232"/>
      <c r="Y11" s="232"/>
      <c r="Z11" s="232"/>
      <c r="AA11" s="232"/>
      <c r="AB11" s="232"/>
      <c r="AC11" s="232"/>
      <c r="AD11" s="232"/>
      <c r="AE11" s="232"/>
      <c r="AF11" s="232"/>
      <c r="AG11" s="232"/>
      <c r="AH11" s="251" t="str">
        <f>IF(Eingabe!F105&amp;Eingabe!G105="","",Eingabe!F105&amp;"  /  "&amp;Eingabe!G105)</f>
        <v/>
      </c>
      <c r="AI11" s="251"/>
      <c r="AJ11" s="251"/>
      <c r="AK11" s="251"/>
      <c r="AL11" s="251"/>
      <c r="AM11" s="251"/>
      <c r="AN11" s="251"/>
      <c r="AO11" s="251"/>
      <c r="AP11" s="251"/>
      <c r="AQ11" s="251"/>
      <c r="AR11" s="251"/>
      <c r="AS11" s="251"/>
      <c r="AT11" s="251"/>
      <c r="AU11" s="251"/>
      <c r="AV11" s="251"/>
      <c r="AW11" s="251"/>
      <c r="AX11" s="251"/>
      <c r="AY11" s="251"/>
      <c r="AZ11" s="251"/>
      <c r="BA11" s="251"/>
      <c r="BB11" s="251"/>
      <c r="BC11" s="251"/>
      <c r="BD11" s="251"/>
      <c r="BE11" s="246" t="str">
        <f>IF(Eingabe!I105="","",Eingabe!I105)</f>
        <v/>
      </c>
      <c r="BF11" s="246"/>
      <c r="BG11" s="246"/>
      <c r="BH11" s="246"/>
      <c r="BI11" s="246"/>
      <c r="BJ11" s="246" t="str">
        <f>IF(Eingabe!I105="","",Eingabe!I105*Eingabe!B105)</f>
        <v/>
      </c>
      <c r="BK11" s="246"/>
      <c r="BL11" s="246"/>
      <c r="BM11" s="246"/>
      <c r="BN11" s="247"/>
      <c r="BO11" s="9"/>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row>
    <row r="12" spans="1:256" s="11" customFormat="1" ht="12.75" customHeight="1" x14ac:dyDescent="0.2">
      <c r="A12" s="222" t="str">
        <f>IF(Eingabe!A106="","",Eingabe!A106)</f>
        <v/>
      </c>
      <c r="B12" s="145"/>
      <c r="C12" s="145"/>
      <c r="D12" s="145" t="str">
        <f>IF(Eingabe!B106="","",Eingabe!B106)</f>
        <v/>
      </c>
      <c r="E12" s="145"/>
      <c r="F12" s="145"/>
      <c r="G12" s="145"/>
      <c r="H12" s="137" t="str">
        <f>IF(Eingabe!C106="","",Eingabe!C106)</f>
        <v/>
      </c>
      <c r="I12" s="137"/>
      <c r="J12" s="137"/>
      <c r="K12" s="137"/>
      <c r="L12" s="232" t="str">
        <f>IF(Eingabe!D106="","",Eingabe!D106)</f>
        <v/>
      </c>
      <c r="M12" s="232"/>
      <c r="N12" s="232"/>
      <c r="O12" s="232"/>
      <c r="P12" s="232"/>
      <c r="Q12" s="232"/>
      <c r="R12" s="232"/>
      <c r="S12" s="232"/>
      <c r="T12" s="232"/>
      <c r="U12" s="232"/>
      <c r="V12" s="232"/>
      <c r="W12" s="232"/>
      <c r="X12" s="232"/>
      <c r="Y12" s="232"/>
      <c r="Z12" s="232"/>
      <c r="AA12" s="232"/>
      <c r="AB12" s="232"/>
      <c r="AC12" s="232"/>
      <c r="AD12" s="232"/>
      <c r="AE12" s="232"/>
      <c r="AF12" s="232"/>
      <c r="AG12" s="232"/>
      <c r="AH12" s="251" t="str">
        <f>IF(Eingabe!F106&amp;Eingabe!G106="","",Eingabe!F106&amp;"  /  "&amp;Eingabe!G106)</f>
        <v/>
      </c>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46" t="str">
        <f>IF(Eingabe!I106="","",Eingabe!I106)</f>
        <v/>
      </c>
      <c r="BF12" s="246"/>
      <c r="BG12" s="246"/>
      <c r="BH12" s="246"/>
      <c r="BI12" s="246"/>
      <c r="BJ12" s="246" t="str">
        <f>IF(Eingabe!I106="","",Eingabe!I106*Eingabe!B106)</f>
        <v/>
      </c>
      <c r="BK12" s="246"/>
      <c r="BL12" s="246"/>
      <c r="BM12" s="246"/>
      <c r="BN12" s="247"/>
      <c r="BO12" s="9"/>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c r="DT12" s="10"/>
      <c r="DU12" s="10"/>
      <c r="DV12" s="10"/>
      <c r="DW12" s="10"/>
      <c r="DX12" s="10"/>
      <c r="DY12" s="10"/>
      <c r="DZ12" s="10"/>
      <c r="EA12" s="10"/>
      <c r="EB12" s="10"/>
      <c r="EC12" s="10"/>
      <c r="ED12" s="10"/>
      <c r="EE12" s="10"/>
      <c r="EF12" s="10"/>
      <c r="EG12" s="10"/>
      <c r="EH12" s="10"/>
      <c r="EI12" s="10"/>
      <c r="EJ12" s="10"/>
      <c r="EK12" s="10"/>
      <c r="EL12" s="10"/>
      <c r="EM12" s="10"/>
      <c r="EN12" s="10"/>
      <c r="EO12" s="10"/>
      <c r="EP12" s="10"/>
      <c r="EQ12" s="10"/>
      <c r="ER12" s="10"/>
      <c r="ES12" s="10"/>
      <c r="ET12" s="10"/>
      <c r="EU12" s="10"/>
      <c r="EV12" s="10"/>
      <c r="EW12" s="10"/>
      <c r="EX12" s="10"/>
      <c r="EY12" s="10"/>
      <c r="EZ12" s="10"/>
      <c r="FA12" s="10"/>
      <c r="FB12" s="10"/>
      <c r="FC12" s="10"/>
      <c r="FD12" s="10"/>
      <c r="FE12" s="10"/>
      <c r="FF12" s="10"/>
      <c r="FG12" s="10"/>
      <c r="FH12" s="10"/>
      <c r="FI12" s="10"/>
      <c r="FJ12" s="10"/>
      <c r="FK12" s="10"/>
      <c r="FL12" s="10"/>
      <c r="FM12" s="10"/>
      <c r="FN12" s="10"/>
      <c r="FO12" s="10"/>
      <c r="FP12" s="10"/>
      <c r="FQ12" s="10"/>
      <c r="FR12" s="10"/>
      <c r="FS12" s="10"/>
      <c r="FT12" s="10"/>
      <c r="FU12" s="10"/>
      <c r="FV12" s="10"/>
      <c r="FW12" s="10"/>
      <c r="FX12" s="10"/>
      <c r="FY12" s="10"/>
      <c r="FZ12" s="10"/>
      <c r="GA12" s="10"/>
      <c r="GB12" s="10"/>
      <c r="GC12" s="10"/>
      <c r="GD12" s="10"/>
      <c r="GE12" s="10"/>
      <c r="GF12" s="10"/>
      <c r="GG12" s="10"/>
      <c r="GH12" s="10"/>
      <c r="GI12" s="10"/>
      <c r="GJ12" s="10"/>
      <c r="GK12" s="10"/>
      <c r="GL12" s="10"/>
      <c r="GM12" s="10"/>
      <c r="GN12" s="10"/>
      <c r="GO12" s="10"/>
      <c r="GP12" s="10"/>
      <c r="GQ12" s="10"/>
      <c r="GR12" s="10"/>
      <c r="GS12" s="10"/>
      <c r="GT12" s="10"/>
      <c r="GU12" s="10"/>
      <c r="GV12" s="10"/>
      <c r="GW12" s="10"/>
      <c r="GX12" s="10"/>
      <c r="GY12" s="10"/>
      <c r="GZ12" s="10"/>
      <c r="HA12" s="10"/>
      <c r="HB12" s="10"/>
      <c r="HC12" s="10"/>
      <c r="HD12" s="10"/>
      <c r="HE12" s="10"/>
      <c r="HF12" s="10"/>
      <c r="HG12" s="10"/>
      <c r="HH12" s="10"/>
      <c r="HI12" s="10"/>
      <c r="HJ12" s="10"/>
      <c r="HK12" s="10"/>
      <c r="HL12" s="10"/>
      <c r="HM12" s="10"/>
      <c r="HN12" s="10"/>
      <c r="HO12" s="10"/>
      <c r="HP12" s="10"/>
      <c r="HQ12" s="10"/>
      <c r="HR12" s="10"/>
      <c r="HS12" s="10"/>
      <c r="HT12" s="10"/>
      <c r="HU12" s="10"/>
      <c r="HV12" s="10"/>
      <c r="HW12" s="10"/>
      <c r="HX12" s="10"/>
      <c r="HY12" s="10"/>
      <c r="HZ12" s="10"/>
      <c r="IA12" s="10"/>
      <c r="IB12" s="10"/>
      <c r="IC12" s="10"/>
      <c r="ID12" s="10"/>
      <c r="IE12" s="10"/>
      <c r="IF12" s="10"/>
      <c r="IG12" s="10"/>
      <c r="IH12" s="10"/>
      <c r="II12" s="10"/>
      <c r="IJ12" s="10"/>
      <c r="IK12" s="10"/>
      <c r="IL12" s="10"/>
      <c r="IM12" s="10"/>
      <c r="IN12" s="10"/>
      <c r="IO12" s="10"/>
      <c r="IP12" s="10"/>
      <c r="IQ12" s="10"/>
      <c r="IR12" s="10"/>
      <c r="IS12" s="10"/>
      <c r="IT12" s="10"/>
      <c r="IU12" s="10"/>
      <c r="IV12" s="10"/>
    </row>
    <row r="13" spans="1:256" s="11" customFormat="1" ht="12.75" customHeight="1" x14ac:dyDescent="0.2">
      <c r="A13" s="222" t="str">
        <f>IF(Eingabe!A107="","",Eingabe!A107)</f>
        <v/>
      </c>
      <c r="B13" s="145"/>
      <c r="C13" s="145"/>
      <c r="D13" s="145" t="str">
        <f>IF(Eingabe!B107="","",Eingabe!B107)</f>
        <v/>
      </c>
      <c r="E13" s="145"/>
      <c r="F13" s="145"/>
      <c r="G13" s="145"/>
      <c r="H13" s="137" t="str">
        <f>IF(Eingabe!C107="","",Eingabe!C107)</f>
        <v/>
      </c>
      <c r="I13" s="137"/>
      <c r="J13" s="137"/>
      <c r="K13" s="137"/>
      <c r="L13" s="232" t="str">
        <f>IF(Eingabe!D107="","",Eingabe!D107)</f>
        <v/>
      </c>
      <c r="M13" s="232"/>
      <c r="N13" s="232"/>
      <c r="O13" s="232"/>
      <c r="P13" s="232"/>
      <c r="Q13" s="232"/>
      <c r="R13" s="232"/>
      <c r="S13" s="232"/>
      <c r="T13" s="232"/>
      <c r="U13" s="232"/>
      <c r="V13" s="232"/>
      <c r="W13" s="232"/>
      <c r="X13" s="232"/>
      <c r="Y13" s="232"/>
      <c r="Z13" s="232"/>
      <c r="AA13" s="232"/>
      <c r="AB13" s="232"/>
      <c r="AC13" s="232"/>
      <c r="AD13" s="232"/>
      <c r="AE13" s="232"/>
      <c r="AF13" s="232"/>
      <c r="AG13" s="232"/>
      <c r="AH13" s="251" t="str">
        <f>IF(Eingabe!F107&amp;Eingabe!G107="","",Eingabe!F107&amp;"  /  "&amp;Eingabe!G107)</f>
        <v/>
      </c>
      <c r="AI13" s="251"/>
      <c r="AJ13" s="251"/>
      <c r="AK13" s="251"/>
      <c r="AL13" s="251"/>
      <c r="AM13" s="251"/>
      <c r="AN13" s="251"/>
      <c r="AO13" s="251"/>
      <c r="AP13" s="251"/>
      <c r="AQ13" s="251"/>
      <c r="AR13" s="251"/>
      <c r="AS13" s="251"/>
      <c r="AT13" s="251"/>
      <c r="AU13" s="251"/>
      <c r="AV13" s="251"/>
      <c r="AW13" s="251"/>
      <c r="AX13" s="251"/>
      <c r="AY13" s="251"/>
      <c r="AZ13" s="251"/>
      <c r="BA13" s="251"/>
      <c r="BB13" s="251"/>
      <c r="BC13" s="251"/>
      <c r="BD13" s="251"/>
      <c r="BE13" s="246" t="str">
        <f>IF(Eingabe!I107="","",Eingabe!I107)</f>
        <v/>
      </c>
      <c r="BF13" s="246"/>
      <c r="BG13" s="246"/>
      <c r="BH13" s="246"/>
      <c r="BI13" s="246"/>
      <c r="BJ13" s="246" t="str">
        <f>IF(Eingabe!I107="","",Eingabe!I107*Eingabe!B107)</f>
        <v/>
      </c>
      <c r="BK13" s="246"/>
      <c r="BL13" s="246"/>
      <c r="BM13" s="246"/>
      <c r="BN13" s="247"/>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c r="DT13" s="10"/>
      <c r="DU13" s="10"/>
      <c r="DV13" s="10"/>
      <c r="DW13" s="10"/>
      <c r="DX13" s="10"/>
      <c r="DY13" s="10"/>
      <c r="DZ13" s="10"/>
      <c r="EA13" s="10"/>
      <c r="EB13" s="10"/>
      <c r="EC13" s="10"/>
      <c r="ED13" s="10"/>
      <c r="EE13" s="10"/>
      <c r="EF13" s="10"/>
      <c r="EG13" s="10"/>
      <c r="EH13" s="10"/>
      <c r="EI13" s="10"/>
      <c r="EJ13" s="10"/>
      <c r="EK13" s="10"/>
      <c r="EL13" s="10"/>
      <c r="EM13" s="10"/>
      <c r="EN13" s="10"/>
      <c r="EO13" s="10"/>
      <c r="EP13" s="10"/>
      <c r="EQ13" s="10"/>
      <c r="ER13" s="10"/>
      <c r="ES13" s="10"/>
      <c r="ET13" s="10"/>
      <c r="EU13" s="10"/>
      <c r="EV13" s="10"/>
      <c r="EW13" s="10"/>
      <c r="EX13" s="10"/>
      <c r="EY13" s="10"/>
      <c r="EZ13" s="10"/>
      <c r="FA13" s="10"/>
      <c r="FB13" s="10"/>
      <c r="FC13" s="10"/>
      <c r="FD13" s="10"/>
      <c r="FE13" s="10"/>
      <c r="FF13" s="10"/>
      <c r="FG13" s="10"/>
      <c r="FH13" s="10"/>
      <c r="FI13" s="10"/>
      <c r="FJ13" s="10"/>
      <c r="FK13" s="10"/>
      <c r="FL13" s="10"/>
      <c r="FM13" s="10"/>
      <c r="FN13" s="10"/>
      <c r="FO13" s="10"/>
      <c r="FP13" s="10"/>
      <c r="FQ13" s="10"/>
      <c r="FR13" s="10"/>
      <c r="FS13" s="10"/>
      <c r="FT13" s="10"/>
      <c r="FU13" s="10"/>
      <c r="FV13" s="10"/>
      <c r="FW13" s="10"/>
      <c r="FX13" s="10"/>
      <c r="FY13" s="10"/>
      <c r="FZ13" s="10"/>
      <c r="GA13" s="10"/>
      <c r="GB13" s="10"/>
      <c r="GC13" s="10"/>
      <c r="GD13" s="10"/>
      <c r="GE13" s="10"/>
      <c r="GF13" s="10"/>
      <c r="GG13" s="10"/>
      <c r="GH13" s="10"/>
      <c r="GI13" s="10"/>
      <c r="GJ13" s="10"/>
      <c r="GK13" s="10"/>
      <c r="GL13" s="10"/>
      <c r="GM13" s="10"/>
      <c r="GN13" s="10"/>
      <c r="GO13" s="10"/>
      <c r="GP13" s="10"/>
      <c r="GQ13" s="10"/>
      <c r="GR13" s="10"/>
      <c r="GS13" s="10"/>
      <c r="GT13" s="10"/>
      <c r="GU13" s="10"/>
      <c r="GV13" s="10"/>
      <c r="GW13" s="10"/>
      <c r="GX13" s="10"/>
      <c r="GY13" s="10"/>
      <c r="GZ13" s="10"/>
      <c r="HA13" s="10"/>
      <c r="HB13" s="10"/>
      <c r="HC13" s="10"/>
      <c r="HD13" s="10"/>
      <c r="HE13" s="10"/>
      <c r="HF13" s="10"/>
      <c r="HG13" s="10"/>
      <c r="HH13" s="10"/>
      <c r="HI13" s="10"/>
      <c r="HJ13" s="10"/>
      <c r="HK13" s="10"/>
      <c r="HL13" s="10"/>
      <c r="HM13" s="10"/>
      <c r="HN13" s="10"/>
      <c r="HO13" s="10"/>
      <c r="HP13" s="10"/>
      <c r="HQ13" s="10"/>
      <c r="HR13" s="10"/>
      <c r="HS13" s="10"/>
      <c r="HT13" s="10"/>
      <c r="HU13" s="10"/>
      <c r="HV13" s="10"/>
      <c r="HW13" s="10"/>
      <c r="HX13" s="10"/>
      <c r="HY13" s="10"/>
      <c r="HZ13" s="10"/>
      <c r="IA13" s="10"/>
      <c r="IB13" s="10"/>
      <c r="IC13" s="10"/>
      <c r="ID13" s="10"/>
      <c r="IE13" s="10"/>
      <c r="IF13" s="10"/>
      <c r="IG13" s="10"/>
      <c r="IH13" s="10"/>
      <c r="II13" s="10"/>
      <c r="IJ13" s="10"/>
      <c r="IK13" s="10"/>
      <c r="IL13" s="10"/>
      <c r="IM13" s="10"/>
      <c r="IN13" s="10"/>
      <c r="IO13" s="10"/>
      <c r="IP13" s="10"/>
      <c r="IQ13" s="10"/>
      <c r="IR13" s="10"/>
      <c r="IS13" s="10"/>
      <c r="IT13" s="10"/>
      <c r="IU13" s="10"/>
      <c r="IV13" s="10"/>
    </row>
    <row r="14" spans="1:256" s="11" customFormat="1" ht="12.75" customHeight="1" x14ac:dyDescent="0.2">
      <c r="A14" s="222" t="str">
        <f>IF(Eingabe!A108="","",Eingabe!A108)</f>
        <v/>
      </c>
      <c r="B14" s="145"/>
      <c r="C14" s="145"/>
      <c r="D14" s="145" t="str">
        <f>IF(Eingabe!B108="","",Eingabe!B108)</f>
        <v/>
      </c>
      <c r="E14" s="145"/>
      <c r="F14" s="145"/>
      <c r="G14" s="145"/>
      <c r="H14" s="137" t="str">
        <f>IF(Eingabe!C108="","",Eingabe!C108)</f>
        <v/>
      </c>
      <c r="I14" s="137"/>
      <c r="J14" s="137"/>
      <c r="K14" s="137"/>
      <c r="L14" s="232" t="str">
        <f>IF(Eingabe!D108="","",Eingabe!D108)</f>
        <v/>
      </c>
      <c r="M14" s="232"/>
      <c r="N14" s="232"/>
      <c r="O14" s="232"/>
      <c r="P14" s="232"/>
      <c r="Q14" s="232"/>
      <c r="R14" s="232"/>
      <c r="S14" s="232"/>
      <c r="T14" s="232"/>
      <c r="U14" s="232"/>
      <c r="V14" s="232"/>
      <c r="W14" s="232"/>
      <c r="X14" s="232"/>
      <c r="Y14" s="232"/>
      <c r="Z14" s="232"/>
      <c r="AA14" s="232"/>
      <c r="AB14" s="232"/>
      <c r="AC14" s="232"/>
      <c r="AD14" s="232"/>
      <c r="AE14" s="232"/>
      <c r="AF14" s="232"/>
      <c r="AG14" s="232"/>
      <c r="AH14" s="251" t="str">
        <f>IF(Eingabe!F108&amp;Eingabe!G108="","",Eingabe!F108&amp;"  /  "&amp;Eingabe!G108)</f>
        <v/>
      </c>
      <c r="AI14" s="251"/>
      <c r="AJ14" s="251"/>
      <c r="AK14" s="251"/>
      <c r="AL14" s="251"/>
      <c r="AM14" s="251"/>
      <c r="AN14" s="251"/>
      <c r="AO14" s="251"/>
      <c r="AP14" s="251"/>
      <c r="AQ14" s="251"/>
      <c r="AR14" s="251"/>
      <c r="AS14" s="251"/>
      <c r="AT14" s="251"/>
      <c r="AU14" s="251"/>
      <c r="AV14" s="251"/>
      <c r="AW14" s="251"/>
      <c r="AX14" s="251"/>
      <c r="AY14" s="251"/>
      <c r="AZ14" s="251"/>
      <c r="BA14" s="251"/>
      <c r="BB14" s="251"/>
      <c r="BC14" s="251"/>
      <c r="BD14" s="251"/>
      <c r="BE14" s="246" t="str">
        <f>IF(Eingabe!I108="","",Eingabe!I108)</f>
        <v/>
      </c>
      <c r="BF14" s="246"/>
      <c r="BG14" s="246"/>
      <c r="BH14" s="246"/>
      <c r="BI14" s="246"/>
      <c r="BJ14" s="246" t="str">
        <f>IF(Eingabe!I108="","",Eingabe!I108*Eingabe!B108)</f>
        <v/>
      </c>
      <c r="BK14" s="246"/>
      <c r="BL14" s="246"/>
      <c r="BM14" s="246"/>
      <c r="BN14" s="247"/>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c r="IL14" s="10"/>
      <c r="IM14" s="10"/>
      <c r="IN14" s="10"/>
      <c r="IO14" s="10"/>
      <c r="IP14" s="10"/>
      <c r="IQ14" s="10"/>
      <c r="IR14" s="10"/>
      <c r="IS14" s="10"/>
      <c r="IT14" s="10"/>
      <c r="IU14" s="10"/>
      <c r="IV14" s="10"/>
    </row>
    <row r="15" spans="1:256" s="11" customFormat="1" ht="12.75" customHeight="1" x14ac:dyDescent="0.2">
      <c r="A15" s="222" t="str">
        <f>IF(Eingabe!A109="","",Eingabe!A109)</f>
        <v/>
      </c>
      <c r="B15" s="145"/>
      <c r="C15" s="145"/>
      <c r="D15" s="145" t="str">
        <f>IF(Eingabe!B109="","",Eingabe!B109)</f>
        <v/>
      </c>
      <c r="E15" s="145"/>
      <c r="F15" s="145"/>
      <c r="G15" s="145"/>
      <c r="H15" s="137" t="str">
        <f>IF(Eingabe!C109="","",Eingabe!C109)</f>
        <v/>
      </c>
      <c r="I15" s="137"/>
      <c r="J15" s="137"/>
      <c r="K15" s="137"/>
      <c r="L15" s="232" t="str">
        <f>IF(Eingabe!D109="","",Eingabe!D109)</f>
        <v/>
      </c>
      <c r="M15" s="232"/>
      <c r="N15" s="232"/>
      <c r="O15" s="232"/>
      <c r="P15" s="232"/>
      <c r="Q15" s="232"/>
      <c r="R15" s="232"/>
      <c r="S15" s="232"/>
      <c r="T15" s="232"/>
      <c r="U15" s="232"/>
      <c r="V15" s="232"/>
      <c r="W15" s="232"/>
      <c r="X15" s="232"/>
      <c r="Y15" s="232"/>
      <c r="Z15" s="232"/>
      <c r="AA15" s="232"/>
      <c r="AB15" s="232"/>
      <c r="AC15" s="232"/>
      <c r="AD15" s="232"/>
      <c r="AE15" s="232"/>
      <c r="AF15" s="232"/>
      <c r="AG15" s="232"/>
      <c r="AH15" s="251" t="str">
        <f>IF(Eingabe!F109&amp;Eingabe!G109="","",Eingabe!F109&amp;"  /  "&amp;Eingabe!G109)</f>
        <v/>
      </c>
      <c r="AI15" s="251"/>
      <c r="AJ15" s="251"/>
      <c r="AK15" s="251"/>
      <c r="AL15" s="251"/>
      <c r="AM15" s="251"/>
      <c r="AN15" s="251"/>
      <c r="AO15" s="251"/>
      <c r="AP15" s="251"/>
      <c r="AQ15" s="251"/>
      <c r="AR15" s="251"/>
      <c r="AS15" s="251"/>
      <c r="AT15" s="251"/>
      <c r="AU15" s="251"/>
      <c r="AV15" s="251"/>
      <c r="AW15" s="251"/>
      <c r="AX15" s="251"/>
      <c r="AY15" s="251"/>
      <c r="AZ15" s="251"/>
      <c r="BA15" s="251"/>
      <c r="BB15" s="251"/>
      <c r="BC15" s="251"/>
      <c r="BD15" s="251"/>
      <c r="BE15" s="246" t="str">
        <f>IF(Eingabe!I109="","",Eingabe!I109)</f>
        <v/>
      </c>
      <c r="BF15" s="246"/>
      <c r="BG15" s="246"/>
      <c r="BH15" s="246"/>
      <c r="BI15" s="246"/>
      <c r="BJ15" s="246" t="str">
        <f>IF(Eingabe!I109="","",Eingabe!I109*Eingabe!B109)</f>
        <v/>
      </c>
      <c r="BK15" s="246"/>
      <c r="BL15" s="246"/>
      <c r="BM15" s="246"/>
      <c r="BN15" s="247"/>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c r="IL15" s="10"/>
      <c r="IM15" s="10"/>
      <c r="IN15" s="10"/>
      <c r="IO15" s="10"/>
      <c r="IP15" s="10"/>
      <c r="IQ15" s="10"/>
      <c r="IR15" s="10"/>
      <c r="IS15" s="10"/>
      <c r="IT15" s="10"/>
      <c r="IU15" s="10"/>
      <c r="IV15" s="10"/>
    </row>
    <row r="16" spans="1:256" s="11" customFormat="1" ht="12.75" customHeight="1" x14ac:dyDescent="0.2">
      <c r="A16" s="222" t="str">
        <f>IF(Eingabe!A110="","",Eingabe!A110)</f>
        <v/>
      </c>
      <c r="B16" s="145"/>
      <c r="C16" s="145"/>
      <c r="D16" s="145" t="str">
        <f>IF(Eingabe!B110="","",Eingabe!B110)</f>
        <v/>
      </c>
      <c r="E16" s="145"/>
      <c r="F16" s="145"/>
      <c r="G16" s="145"/>
      <c r="H16" s="137" t="str">
        <f>IF(Eingabe!C110="","",Eingabe!C110)</f>
        <v/>
      </c>
      <c r="I16" s="137"/>
      <c r="J16" s="137"/>
      <c r="K16" s="137"/>
      <c r="L16" s="232" t="str">
        <f>IF(Eingabe!D110="","",Eingabe!D110)</f>
        <v/>
      </c>
      <c r="M16" s="232"/>
      <c r="N16" s="232"/>
      <c r="O16" s="232"/>
      <c r="P16" s="232"/>
      <c r="Q16" s="232"/>
      <c r="R16" s="232"/>
      <c r="S16" s="232"/>
      <c r="T16" s="232"/>
      <c r="U16" s="232"/>
      <c r="V16" s="232"/>
      <c r="W16" s="232"/>
      <c r="X16" s="232"/>
      <c r="Y16" s="232"/>
      <c r="Z16" s="232"/>
      <c r="AA16" s="232"/>
      <c r="AB16" s="232"/>
      <c r="AC16" s="232"/>
      <c r="AD16" s="232"/>
      <c r="AE16" s="232"/>
      <c r="AF16" s="232"/>
      <c r="AG16" s="232"/>
      <c r="AH16" s="251" t="str">
        <f>IF(Eingabe!F110&amp;Eingabe!G110="","",Eingabe!F110&amp;"  /  "&amp;Eingabe!G110)</f>
        <v/>
      </c>
      <c r="AI16" s="251"/>
      <c r="AJ16" s="251"/>
      <c r="AK16" s="251"/>
      <c r="AL16" s="251"/>
      <c r="AM16" s="251"/>
      <c r="AN16" s="251"/>
      <c r="AO16" s="251"/>
      <c r="AP16" s="251"/>
      <c r="AQ16" s="251"/>
      <c r="AR16" s="251"/>
      <c r="AS16" s="251"/>
      <c r="AT16" s="251"/>
      <c r="AU16" s="251"/>
      <c r="AV16" s="251"/>
      <c r="AW16" s="251"/>
      <c r="AX16" s="251"/>
      <c r="AY16" s="251"/>
      <c r="AZ16" s="251"/>
      <c r="BA16" s="251"/>
      <c r="BB16" s="251"/>
      <c r="BC16" s="251"/>
      <c r="BD16" s="251"/>
      <c r="BE16" s="246" t="str">
        <f>IF(Eingabe!I110="","",Eingabe!I110)</f>
        <v/>
      </c>
      <c r="BF16" s="246"/>
      <c r="BG16" s="246"/>
      <c r="BH16" s="246"/>
      <c r="BI16" s="246"/>
      <c r="BJ16" s="246" t="str">
        <f>IF(Eingabe!I110="","",Eingabe!I110*Eingabe!B110)</f>
        <v/>
      </c>
      <c r="BK16" s="246"/>
      <c r="BL16" s="246"/>
      <c r="BM16" s="246"/>
      <c r="BN16" s="247"/>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c r="IA16" s="10"/>
      <c r="IB16" s="10"/>
      <c r="IC16" s="10"/>
      <c r="ID16" s="10"/>
      <c r="IE16" s="10"/>
      <c r="IF16" s="10"/>
      <c r="IG16" s="10"/>
      <c r="IH16" s="10"/>
      <c r="II16" s="10"/>
      <c r="IJ16" s="10"/>
      <c r="IK16" s="10"/>
      <c r="IL16" s="10"/>
      <c r="IM16" s="10"/>
      <c r="IN16" s="10"/>
      <c r="IO16" s="10"/>
      <c r="IP16" s="10"/>
      <c r="IQ16" s="10"/>
      <c r="IR16" s="10"/>
      <c r="IS16" s="10"/>
      <c r="IT16" s="10"/>
      <c r="IU16" s="10"/>
      <c r="IV16" s="10"/>
    </row>
    <row r="17" spans="1:256" s="11" customFormat="1" ht="12.75" customHeight="1" x14ac:dyDescent="0.2">
      <c r="A17" s="222" t="str">
        <f>IF(Eingabe!A111="","",Eingabe!A111)</f>
        <v/>
      </c>
      <c r="B17" s="145"/>
      <c r="C17" s="145"/>
      <c r="D17" s="145" t="str">
        <f>IF(Eingabe!B111="","",Eingabe!B111)</f>
        <v/>
      </c>
      <c r="E17" s="145"/>
      <c r="F17" s="145"/>
      <c r="G17" s="145"/>
      <c r="H17" s="137" t="str">
        <f>IF(Eingabe!C111="","",Eingabe!C111)</f>
        <v/>
      </c>
      <c r="I17" s="137"/>
      <c r="J17" s="137"/>
      <c r="K17" s="137"/>
      <c r="L17" s="232" t="str">
        <f>IF(Eingabe!D111="","",Eingabe!D111)</f>
        <v/>
      </c>
      <c r="M17" s="232"/>
      <c r="N17" s="232"/>
      <c r="O17" s="232"/>
      <c r="P17" s="232"/>
      <c r="Q17" s="232"/>
      <c r="R17" s="232"/>
      <c r="S17" s="232"/>
      <c r="T17" s="232"/>
      <c r="U17" s="232"/>
      <c r="V17" s="232"/>
      <c r="W17" s="232"/>
      <c r="X17" s="232"/>
      <c r="Y17" s="232"/>
      <c r="Z17" s="232"/>
      <c r="AA17" s="232"/>
      <c r="AB17" s="232"/>
      <c r="AC17" s="232"/>
      <c r="AD17" s="232"/>
      <c r="AE17" s="232"/>
      <c r="AF17" s="232"/>
      <c r="AG17" s="232"/>
      <c r="AH17" s="251" t="str">
        <f>IF(Eingabe!F111&amp;Eingabe!G111="","",Eingabe!F111&amp;"  /  "&amp;Eingabe!G111)</f>
        <v/>
      </c>
      <c r="AI17" s="251"/>
      <c r="AJ17" s="251"/>
      <c r="AK17" s="251"/>
      <c r="AL17" s="251"/>
      <c r="AM17" s="251"/>
      <c r="AN17" s="251"/>
      <c r="AO17" s="251"/>
      <c r="AP17" s="251"/>
      <c r="AQ17" s="251"/>
      <c r="AR17" s="251"/>
      <c r="AS17" s="251"/>
      <c r="AT17" s="251"/>
      <c r="AU17" s="251"/>
      <c r="AV17" s="251"/>
      <c r="AW17" s="251"/>
      <c r="AX17" s="251"/>
      <c r="AY17" s="251"/>
      <c r="AZ17" s="251"/>
      <c r="BA17" s="251"/>
      <c r="BB17" s="251"/>
      <c r="BC17" s="251"/>
      <c r="BD17" s="251"/>
      <c r="BE17" s="246" t="str">
        <f>IF(Eingabe!I111="","",Eingabe!I111)</f>
        <v/>
      </c>
      <c r="BF17" s="246"/>
      <c r="BG17" s="246"/>
      <c r="BH17" s="246"/>
      <c r="BI17" s="246"/>
      <c r="BJ17" s="246" t="str">
        <f>IF(Eingabe!I111="","",Eingabe!I111*Eingabe!B111)</f>
        <v/>
      </c>
      <c r="BK17" s="246"/>
      <c r="BL17" s="246"/>
      <c r="BM17" s="246"/>
      <c r="BN17" s="247"/>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c r="IA17" s="10"/>
      <c r="IB17" s="10"/>
      <c r="IC17" s="10"/>
      <c r="ID17" s="10"/>
      <c r="IE17" s="10"/>
      <c r="IF17" s="10"/>
      <c r="IG17" s="10"/>
      <c r="IH17" s="10"/>
      <c r="II17" s="10"/>
      <c r="IJ17" s="10"/>
      <c r="IK17" s="10"/>
      <c r="IL17" s="10"/>
      <c r="IM17" s="10"/>
      <c r="IN17" s="10"/>
      <c r="IO17" s="10"/>
      <c r="IP17" s="10"/>
      <c r="IQ17" s="10"/>
      <c r="IR17" s="10"/>
      <c r="IS17" s="10"/>
      <c r="IT17" s="10"/>
      <c r="IU17" s="10"/>
      <c r="IV17" s="10"/>
    </row>
    <row r="18" spans="1:256" s="11" customFormat="1" ht="12.75" customHeight="1" x14ac:dyDescent="0.2">
      <c r="A18" s="222" t="str">
        <f>IF(Eingabe!A112="","",Eingabe!A112)</f>
        <v/>
      </c>
      <c r="B18" s="145"/>
      <c r="C18" s="145"/>
      <c r="D18" s="145" t="str">
        <f>IF(Eingabe!B112="","",Eingabe!B112)</f>
        <v/>
      </c>
      <c r="E18" s="145"/>
      <c r="F18" s="145"/>
      <c r="G18" s="145"/>
      <c r="H18" s="137" t="str">
        <f>IF(Eingabe!C112="","",Eingabe!C112)</f>
        <v/>
      </c>
      <c r="I18" s="137"/>
      <c r="J18" s="137"/>
      <c r="K18" s="137"/>
      <c r="L18" s="232" t="str">
        <f>IF(Eingabe!D112="","",Eingabe!D112)</f>
        <v/>
      </c>
      <c r="M18" s="232"/>
      <c r="N18" s="232"/>
      <c r="O18" s="232"/>
      <c r="P18" s="232"/>
      <c r="Q18" s="232"/>
      <c r="R18" s="232"/>
      <c r="S18" s="232"/>
      <c r="T18" s="232"/>
      <c r="U18" s="232"/>
      <c r="V18" s="232"/>
      <c r="W18" s="232"/>
      <c r="X18" s="232"/>
      <c r="Y18" s="232"/>
      <c r="Z18" s="232"/>
      <c r="AA18" s="232"/>
      <c r="AB18" s="232"/>
      <c r="AC18" s="232"/>
      <c r="AD18" s="232"/>
      <c r="AE18" s="232"/>
      <c r="AF18" s="232"/>
      <c r="AG18" s="232"/>
      <c r="AH18" s="251" t="str">
        <f>IF(Eingabe!F112&amp;Eingabe!G112="","",Eingabe!F112&amp;"  /  "&amp;Eingabe!G112)</f>
        <v/>
      </c>
      <c r="AI18" s="251"/>
      <c r="AJ18" s="251"/>
      <c r="AK18" s="251"/>
      <c r="AL18" s="251"/>
      <c r="AM18" s="251"/>
      <c r="AN18" s="251"/>
      <c r="AO18" s="251"/>
      <c r="AP18" s="251"/>
      <c r="AQ18" s="251"/>
      <c r="AR18" s="251"/>
      <c r="AS18" s="251"/>
      <c r="AT18" s="251"/>
      <c r="AU18" s="251"/>
      <c r="AV18" s="251"/>
      <c r="AW18" s="251"/>
      <c r="AX18" s="251"/>
      <c r="AY18" s="251"/>
      <c r="AZ18" s="251"/>
      <c r="BA18" s="251"/>
      <c r="BB18" s="251"/>
      <c r="BC18" s="251"/>
      <c r="BD18" s="251"/>
      <c r="BE18" s="246" t="str">
        <f>IF(Eingabe!I112="","",Eingabe!I112)</f>
        <v/>
      </c>
      <c r="BF18" s="246"/>
      <c r="BG18" s="246"/>
      <c r="BH18" s="246"/>
      <c r="BI18" s="246"/>
      <c r="BJ18" s="246" t="str">
        <f>IF(Eingabe!I112="","",Eingabe!I112*Eingabe!B112)</f>
        <v/>
      </c>
      <c r="BK18" s="246"/>
      <c r="BL18" s="246"/>
      <c r="BM18" s="246"/>
      <c r="BN18" s="247"/>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c r="IA18" s="10"/>
      <c r="IB18" s="10"/>
      <c r="IC18" s="10"/>
      <c r="ID18" s="10"/>
      <c r="IE18" s="10"/>
      <c r="IF18" s="10"/>
      <c r="IG18" s="10"/>
      <c r="IH18" s="10"/>
      <c r="II18" s="10"/>
      <c r="IJ18" s="10"/>
      <c r="IK18" s="10"/>
      <c r="IL18" s="10"/>
      <c r="IM18" s="10"/>
      <c r="IN18" s="10"/>
      <c r="IO18" s="10"/>
      <c r="IP18" s="10"/>
      <c r="IQ18" s="10"/>
      <c r="IR18" s="10"/>
      <c r="IS18" s="10"/>
      <c r="IT18" s="10"/>
      <c r="IU18" s="10"/>
      <c r="IV18" s="10"/>
    </row>
    <row r="19" spans="1:256" s="11" customFormat="1" ht="12.75" customHeight="1" x14ac:dyDescent="0.2">
      <c r="A19" s="222" t="str">
        <f>IF(Eingabe!A113="","",Eingabe!A113)</f>
        <v/>
      </c>
      <c r="B19" s="145"/>
      <c r="C19" s="145"/>
      <c r="D19" s="145" t="str">
        <f>IF(Eingabe!B113="","",Eingabe!B113)</f>
        <v/>
      </c>
      <c r="E19" s="145"/>
      <c r="F19" s="145"/>
      <c r="G19" s="145"/>
      <c r="H19" s="137" t="str">
        <f>IF(Eingabe!C113="","",Eingabe!C113)</f>
        <v/>
      </c>
      <c r="I19" s="137"/>
      <c r="J19" s="137"/>
      <c r="K19" s="137"/>
      <c r="L19" s="232" t="str">
        <f>IF(Eingabe!D113="","",Eingabe!D113)</f>
        <v/>
      </c>
      <c r="M19" s="232"/>
      <c r="N19" s="232"/>
      <c r="O19" s="232"/>
      <c r="P19" s="232"/>
      <c r="Q19" s="232"/>
      <c r="R19" s="232"/>
      <c r="S19" s="232"/>
      <c r="T19" s="232"/>
      <c r="U19" s="232"/>
      <c r="V19" s="232"/>
      <c r="W19" s="232"/>
      <c r="X19" s="232"/>
      <c r="Y19" s="232"/>
      <c r="Z19" s="232"/>
      <c r="AA19" s="232"/>
      <c r="AB19" s="232"/>
      <c r="AC19" s="232"/>
      <c r="AD19" s="232"/>
      <c r="AE19" s="232"/>
      <c r="AF19" s="232"/>
      <c r="AG19" s="232"/>
      <c r="AH19" s="251" t="str">
        <f>IF(Eingabe!F113&amp;Eingabe!G113="","",Eingabe!F113&amp;"  /  "&amp;Eingabe!G113)</f>
        <v/>
      </c>
      <c r="AI19" s="251"/>
      <c r="AJ19" s="251"/>
      <c r="AK19" s="251"/>
      <c r="AL19" s="251"/>
      <c r="AM19" s="251"/>
      <c r="AN19" s="251"/>
      <c r="AO19" s="251"/>
      <c r="AP19" s="251"/>
      <c r="AQ19" s="251"/>
      <c r="AR19" s="251"/>
      <c r="AS19" s="251"/>
      <c r="AT19" s="251"/>
      <c r="AU19" s="251"/>
      <c r="AV19" s="251"/>
      <c r="AW19" s="251"/>
      <c r="AX19" s="251"/>
      <c r="AY19" s="251"/>
      <c r="AZ19" s="251"/>
      <c r="BA19" s="251"/>
      <c r="BB19" s="251"/>
      <c r="BC19" s="251"/>
      <c r="BD19" s="251"/>
      <c r="BE19" s="246" t="str">
        <f>IF(Eingabe!I113="","",Eingabe!I113)</f>
        <v/>
      </c>
      <c r="BF19" s="246"/>
      <c r="BG19" s="246"/>
      <c r="BH19" s="246"/>
      <c r="BI19" s="246"/>
      <c r="BJ19" s="246" t="str">
        <f>IF(Eingabe!I113="","",Eingabe!I113*Eingabe!B113)</f>
        <v/>
      </c>
      <c r="BK19" s="246"/>
      <c r="BL19" s="246"/>
      <c r="BM19" s="246"/>
      <c r="BN19" s="247"/>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c r="IA19" s="10"/>
      <c r="IB19" s="10"/>
      <c r="IC19" s="10"/>
      <c r="ID19" s="10"/>
      <c r="IE19" s="10"/>
      <c r="IF19" s="10"/>
      <c r="IG19" s="10"/>
      <c r="IH19" s="10"/>
      <c r="II19" s="10"/>
      <c r="IJ19" s="10"/>
      <c r="IK19" s="10"/>
      <c r="IL19" s="10"/>
      <c r="IM19" s="10"/>
      <c r="IN19" s="10"/>
      <c r="IO19" s="10"/>
      <c r="IP19" s="10"/>
      <c r="IQ19" s="10"/>
      <c r="IR19" s="10"/>
      <c r="IS19" s="10"/>
      <c r="IT19" s="10"/>
      <c r="IU19" s="10"/>
      <c r="IV19" s="10"/>
    </row>
    <row r="20" spans="1:256" s="11" customFormat="1" ht="12.75" customHeight="1" x14ac:dyDescent="0.2">
      <c r="A20" s="222" t="str">
        <f>IF(Eingabe!A114="","",Eingabe!A114)</f>
        <v/>
      </c>
      <c r="B20" s="145"/>
      <c r="C20" s="145"/>
      <c r="D20" s="145" t="str">
        <f>IF(Eingabe!B114="","",Eingabe!B114)</f>
        <v/>
      </c>
      <c r="E20" s="145"/>
      <c r="F20" s="145"/>
      <c r="G20" s="145"/>
      <c r="H20" s="137" t="str">
        <f>IF(Eingabe!C114="","",Eingabe!C114)</f>
        <v/>
      </c>
      <c r="I20" s="137"/>
      <c r="J20" s="137"/>
      <c r="K20" s="137"/>
      <c r="L20" s="232" t="str">
        <f>IF(Eingabe!D114="","",Eingabe!D114)</f>
        <v/>
      </c>
      <c r="M20" s="232"/>
      <c r="N20" s="232"/>
      <c r="O20" s="232"/>
      <c r="P20" s="232"/>
      <c r="Q20" s="232"/>
      <c r="R20" s="232"/>
      <c r="S20" s="232"/>
      <c r="T20" s="232"/>
      <c r="U20" s="232"/>
      <c r="V20" s="232"/>
      <c r="W20" s="232"/>
      <c r="X20" s="232"/>
      <c r="Y20" s="232"/>
      <c r="Z20" s="232"/>
      <c r="AA20" s="232"/>
      <c r="AB20" s="232"/>
      <c r="AC20" s="232"/>
      <c r="AD20" s="232"/>
      <c r="AE20" s="232"/>
      <c r="AF20" s="232"/>
      <c r="AG20" s="232"/>
      <c r="AH20" s="251" t="str">
        <f>IF(Eingabe!F114&amp;Eingabe!G114="","",Eingabe!F114&amp;"  /  "&amp;Eingabe!G114)</f>
        <v/>
      </c>
      <c r="AI20" s="251"/>
      <c r="AJ20" s="251"/>
      <c r="AK20" s="251"/>
      <c r="AL20" s="251"/>
      <c r="AM20" s="251"/>
      <c r="AN20" s="251"/>
      <c r="AO20" s="251"/>
      <c r="AP20" s="251"/>
      <c r="AQ20" s="251"/>
      <c r="AR20" s="251"/>
      <c r="AS20" s="251"/>
      <c r="AT20" s="251"/>
      <c r="AU20" s="251"/>
      <c r="AV20" s="251"/>
      <c r="AW20" s="251"/>
      <c r="AX20" s="251"/>
      <c r="AY20" s="251"/>
      <c r="AZ20" s="251"/>
      <c r="BA20" s="251"/>
      <c r="BB20" s="251"/>
      <c r="BC20" s="251"/>
      <c r="BD20" s="251"/>
      <c r="BE20" s="246" t="str">
        <f>IF(Eingabe!I114="","",Eingabe!I114)</f>
        <v/>
      </c>
      <c r="BF20" s="246"/>
      <c r="BG20" s="246"/>
      <c r="BH20" s="246"/>
      <c r="BI20" s="246"/>
      <c r="BJ20" s="246" t="str">
        <f>IF(Eingabe!I114="","",Eingabe!I114*Eingabe!B114)</f>
        <v/>
      </c>
      <c r="BK20" s="246"/>
      <c r="BL20" s="246"/>
      <c r="BM20" s="246"/>
      <c r="BN20" s="247"/>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c r="IA20" s="10"/>
      <c r="IB20" s="10"/>
      <c r="IC20" s="10"/>
      <c r="ID20" s="10"/>
      <c r="IE20" s="10"/>
      <c r="IF20" s="10"/>
      <c r="IG20" s="10"/>
      <c r="IH20" s="10"/>
      <c r="II20" s="10"/>
      <c r="IJ20" s="10"/>
      <c r="IK20" s="10"/>
      <c r="IL20" s="10"/>
      <c r="IM20" s="10"/>
      <c r="IN20" s="10"/>
      <c r="IO20" s="10"/>
      <c r="IP20" s="10"/>
      <c r="IQ20" s="10"/>
      <c r="IR20" s="10"/>
      <c r="IS20" s="10"/>
      <c r="IT20" s="10"/>
      <c r="IU20" s="10"/>
      <c r="IV20" s="10"/>
    </row>
    <row r="21" spans="1:256" s="11" customFormat="1" ht="12.75" customHeight="1" x14ac:dyDescent="0.2">
      <c r="A21" s="222" t="str">
        <f>IF(Eingabe!A115="","",Eingabe!A115)</f>
        <v/>
      </c>
      <c r="B21" s="145"/>
      <c r="C21" s="145"/>
      <c r="D21" s="145" t="str">
        <f>IF(Eingabe!B115="","",Eingabe!B115)</f>
        <v/>
      </c>
      <c r="E21" s="145"/>
      <c r="F21" s="145"/>
      <c r="G21" s="145"/>
      <c r="H21" s="137" t="str">
        <f>IF(Eingabe!C115="","",Eingabe!C115)</f>
        <v/>
      </c>
      <c r="I21" s="137"/>
      <c r="J21" s="137"/>
      <c r="K21" s="137"/>
      <c r="L21" s="232" t="str">
        <f>IF(Eingabe!D115="","",Eingabe!D115)</f>
        <v/>
      </c>
      <c r="M21" s="232"/>
      <c r="N21" s="232"/>
      <c r="O21" s="232"/>
      <c r="P21" s="232"/>
      <c r="Q21" s="232"/>
      <c r="R21" s="232"/>
      <c r="S21" s="232"/>
      <c r="T21" s="232"/>
      <c r="U21" s="232"/>
      <c r="V21" s="232"/>
      <c r="W21" s="232"/>
      <c r="X21" s="232"/>
      <c r="Y21" s="232"/>
      <c r="Z21" s="232"/>
      <c r="AA21" s="232"/>
      <c r="AB21" s="232"/>
      <c r="AC21" s="232"/>
      <c r="AD21" s="232"/>
      <c r="AE21" s="232"/>
      <c r="AF21" s="232"/>
      <c r="AG21" s="232"/>
      <c r="AH21" s="251" t="str">
        <f>IF(Eingabe!F115&amp;Eingabe!G115="","",Eingabe!F115&amp;"  /  "&amp;Eingabe!G115)</f>
        <v/>
      </c>
      <c r="AI21" s="251"/>
      <c r="AJ21" s="251"/>
      <c r="AK21" s="251"/>
      <c r="AL21" s="251"/>
      <c r="AM21" s="251"/>
      <c r="AN21" s="251"/>
      <c r="AO21" s="251"/>
      <c r="AP21" s="251"/>
      <c r="AQ21" s="251"/>
      <c r="AR21" s="251"/>
      <c r="AS21" s="251"/>
      <c r="AT21" s="251"/>
      <c r="AU21" s="251"/>
      <c r="AV21" s="251"/>
      <c r="AW21" s="251"/>
      <c r="AX21" s="251"/>
      <c r="AY21" s="251"/>
      <c r="AZ21" s="251"/>
      <c r="BA21" s="251"/>
      <c r="BB21" s="251"/>
      <c r="BC21" s="251"/>
      <c r="BD21" s="251"/>
      <c r="BE21" s="246" t="str">
        <f>IF(Eingabe!I115="","",Eingabe!I115)</f>
        <v/>
      </c>
      <c r="BF21" s="246"/>
      <c r="BG21" s="246"/>
      <c r="BH21" s="246"/>
      <c r="BI21" s="246"/>
      <c r="BJ21" s="246" t="str">
        <f>IF(Eingabe!I115="","",Eingabe!I115*Eingabe!B115)</f>
        <v/>
      </c>
      <c r="BK21" s="246"/>
      <c r="BL21" s="246"/>
      <c r="BM21" s="246"/>
      <c r="BN21" s="247"/>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c r="DT21" s="10"/>
      <c r="DU21" s="10"/>
      <c r="DV21" s="10"/>
      <c r="DW21" s="10"/>
      <c r="DX21" s="10"/>
      <c r="DY21" s="10"/>
      <c r="DZ21" s="10"/>
      <c r="EA21" s="10"/>
      <c r="EB21" s="10"/>
      <c r="EC21" s="10"/>
      <c r="ED21" s="10"/>
      <c r="EE21" s="10"/>
      <c r="EF21" s="10"/>
      <c r="EG21" s="10"/>
      <c r="EH21" s="10"/>
      <c r="EI21" s="10"/>
      <c r="EJ21" s="10"/>
      <c r="EK21" s="10"/>
      <c r="EL21" s="10"/>
      <c r="EM21" s="10"/>
      <c r="EN21" s="10"/>
      <c r="EO21" s="10"/>
      <c r="EP21" s="10"/>
      <c r="EQ21" s="10"/>
      <c r="ER21" s="10"/>
      <c r="ES21" s="10"/>
      <c r="ET21" s="10"/>
      <c r="EU21" s="10"/>
      <c r="EV21" s="10"/>
      <c r="EW21" s="10"/>
      <c r="EX21" s="10"/>
      <c r="EY21" s="10"/>
      <c r="EZ21" s="10"/>
      <c r="FA21" s="10"/>
      <c r="FB21" s="10"/>
      <c r="FC21" s="10"/>
      <c r="FD21" s="10"/>
      <c r="FE21" s="10"/>
      <c r="FF21" s="10"/>
      <c r="FG21" s="10"/>
      <c r="FH21" s="10"/>
      <c r="FI21" s="10"/>
      <c r="FJ21" s="10"/>
      <c r="FK21" s="10"/>
      <c r="FL21" s="10"/>
      <c r="FM21" s="10"/>
      <c r="FN21" s="10"/>
      <c r="FO21" s="10"/>
      <c r="FP21" s="10"/>
      <c r="FQ21" s="10"/>
      <c r="FR21" s="10"/>
      <c r="FS21" s="10"/>
      <c r="FT21" s="10"/>
      <c r="FU21" s="10"/>
      <c r="FV21" s="10"/>
      <c r="FW21" s="10"/>
      <c r="FX21" s="10"/>
      <c r="FY21" s="10"/>
      <c r="FZ21" s="10"/>
      <c r="GA21" s="10"/>
      <c r="GB21" s="10"/>
      <c r="GC21" s="10"/>
      <c r="GD21" s="10"/>
      <c r="GE21" s="10"/>
      <c r="GF21" s="10"/>
      <c r="GG21" s="10"/>
      <c r="GH21" s="10"/>
      <c r="GI21" s="10"/>
      <c r="GJ21" s="10"/>
      <c r="GK21" s="10"/>
      <c r="GL21" s="10"/>
      <c r="GM21" s="10"/>
      <c r="GN21" s="10"/>
      <c r="GO21" s="10"/>
      <c r="GP21" s="10"/>
      <c r="GQ21" s="10"/>
      <c r="GR21" s="10"/>
      <c r="GS21" s="10"/>
      <c r="GT21" s="10"/>
      <c r="GU21" s="10"/>
      <c r="GV21" s="10"/>
      <c r="GW21" s="10"/>
      <c r="GX21" s="10"/>
      <c r="GY21" s="10"/>
      <c r="GZ21" s="10"/>
      <c r="HA21" s="10"/>
      <c r="HB21" s="10"/>
      <c r="HC21" s="10"/>
      <c r="HD21" s="10"/>
      <c r="HE21" s="10"/>
      <c r="HF21" s="10"/>
      <c r="HG21" s="10"/>
      <c r="HH21" s="10"/>
      <c r="HI21" s="10"/>
      <c r="HJ21" s="10"/>
      <c r="HK21" s="10"/>
      <c r="HL21" s="10"/>
      <c r="HM21" s="10"/>
      <c r="HN21" s="10"/>
      <c r="HO21" s="10"/>
      <c r="HP21" s="10"/>
      <c r="HQ21" s="10"/>
      <c r="HR21" s="10"/>
      <c r="HS21" s="10"/>
      <c r="HT21" s="10"/>
      <c r="HU21" s="10"/>
      <c r="HV21" s="10"/>
      <c r="HW21" s="10"/>
      <c r="HX21" s="10"/>
      <c r="HY21" s="10"/>
      <c r="HZ21" s="10"/>
      <c r="IA21" s="10"/>
      <c r="IB21" s="10"/>
      <c r="IC21" s="10"/>
      <c r="ID21" s="10"/>
      <c r="IE21" s="10"/>
      <c r="IF21" s="10"/>
      <c r="IG21" s="10"/>
      <c r="IH21" s="10"/>
      <c r="II21" s="10"/>
      <c r="IJ21" s="10"/>
      <c r="IK21" s="10"/>
      <c r="IL21" s="10"/>
      <c r="IM21" s="10"/>
      <c r="IN21" s="10"/>
      <c r="IO21" s="10"/>
      <c r="IP21" s="10"/>
      <c r="IQ21" s="10"/>
      <c r="IR21" s="10"/>
      <c r="IS21" s="10"/>
      <c r="IT21" s="10"/>
      <c r="IU21" s="10"/>
      <c r="IV21" s="10"/>
    </row>
    <row r="22" spans="1:256" s="11" customFormat="1" ht="12.75" customHeight="1" x14ac:dyDescent="0.2">
      <c r="A22" s="222" t="str">
        <f>IF(Eingabe!A116="","",Eingabe!A116)</f>
        <v/>
      </c>
      <c r="B22" s="145"/>
      <c r="C22" s="145"/>
      <c r="D22" s="145" t="str">
        <f>IF(Eingabe!B116="","",Eingabe!B116)</f>
        <v/>
      </c>
      <c r="E22" s="145"/>
      <c r="F22" s="145"/>
      <c r="G22" s="145"/>
      <c r="H22" s="137" t="str">
        <f>IF(Eingabe!C116="","",Eingabe!C116)</f>
        <v/>
      </c>
      <c r="I22" s="137"/>
      <c r="J22" s="137"/>
      <c r="K22" s="137"/>
      <c r="L22" s="232" t="str">
        <f>IF(Eingabe!D116="","",Eingabe!D116)</f>
        <v/>
      </c>
      <c r="M22" s="232"/>
      <c r="N22" s="232"/>
      <c r="O22" s="232"/>
      <c r="P22" s="232"/>
      <c r="Q22" s="232"/>
      <c r="R22" s="232"/>
      <c r="S22" s="232"/>
      <c r="T22" s="232"/>
      <c r="U22" s="232"/>
      <c r="V22" s="232"/>
      <c r="W22" s="232"/>
      <c r="X22" s="232"/>
      <c r="Y22" s="232"/>
      <c r="Z22" s="232"/>
      <c r="AA22" s="232"/>
      <c r="AB22" s="232"/>
      <c r="AC22" s="232"/>
      <c r="AD22" s="232"/>
      <c r="AE22" s="232"/>
      <c r="AF22" s="232"/>
      <c r="AG22" s="232"/>
      <c r="AH22" s="251" t="str">
        <f>IF(Eingabe!F116&amp;Eingabe!G116="","",Eingabe!F116&amp;"  /  "&amp;Eingabe!G116)</f>
        <v/>
      </c>
      <c r="AI22" s="251"/>
      <c r="AJ22" s="251"/>
      <c r="AK22" s="251"/>
      <c r="AL22" s="251"/>
      <c r="AM22" s="251"/>
      <c r="AN22" s="251"/>
      <c r="AO22" s="251"/>
      <c r="AP22" s="251"/>
      <c r="AQ22" s="251"/>
      <c r="AR22" s="251"/>
      <c r="AS22" s="251"/>
      <c r="AT22" s="251"/>
      <c r="AU22" s="251"/>
      <c r="AV22" s="251"/>
      <c r="AW22" s="251"/>
      <c r="AX22" s="251"/>
      <c r="AY22" s="251"/>
      <c r="AZ22" s="251"/>
      <c r="BA22" s="251"/>
      <c r="BB22" s="251"/>
      <c r="BC22" s="251"/>
      <c r="BD22" s="251"/>
      <c r="BE22" s="246" t="str">
        <f>IF(Eingabe!I116="","",Eingabe!I116)</f>
        <v/>
      </c>
      <c r="BF22" s="246"/>
      <c r="BG22" s="246"/>
      <c r="BH22" s="246"/>
      <c r="BI22" s="246"/>
      <c r="BJ22" s="246" t="str">
        <f>IF(Eingabe!I116="","",Eingabe!I116*Eingabe!B116)</f>
        <v/>
      </c>
      <c r="BK22" s="246"/>
      <c r="BL22" s="246"/>
      <c r="BM22" s="246"/>
      <c r="BN22" s="247"/>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c r="DT22" s="10"/>
      <c r="DU22" s="10"/>
      <c r="DV22" s="10"/>
      <c r="DW22" s="10"/>
      <c r="DX22" s="10"/>
      <c r="DY22" s="10"/>
      <c r="DZ22" s="10"/>
      <c r="EA22" s="10"/>
      <c r="EB22" s="10"/>
      <c r="EC22" s="10"/>
      <c r="ED22" s="10"/>
      <c r="EE22" s="10"/>
      <c r="EF22" s="10"/>
      <c r="EG22" s="10"/>
      <c r="EH22" s="10"/>
      <c r="EI22" s="10"/>
      <c r="EJ22" s="10"/>
      <c r="EK22" s="10"/>
      <c r="EL22" s="10"/>
      <c r="EM22" s="10"/>
      <c r="EN22" s="10"/>
      <c r="EO22" s="10"/>
      <c r="EP22" s="10"/>
      <c r="EQ22" s="10"/>
      <c r="ER22" s="10"/>
      <c r="ES22" s="10"/>
      <c r="ET22" s="10"/>
      <c r="EU22" s="10"/>
      <c r="EV22" s="10"/>
      <c r="EW22" s="10"/>
      <c r="EX22" s="10"/>
      <c r="EY22" s="10"/>
      <c r="EZ22" s="10"/>
      <c r="FA22" s="10"/>
      <c r="FB22" s="10"/>
      <c r="FC22" s="10"/>
      <c r="FD22" s="10"/>
      <c r="FE22" s="10"/>
      <c r="FF22" s="10"/>
      <c r="FG22" s="10"/>
      <c r="FH22" s="10"/>
      <c r="FI22" s="10"/>
      <c r="FJ22" s="10"/>
      <c r="FK22" s="10"/>
      <c r="FL22" s="10"/>
      <c r="FM22" s="10"/>
      <c r="FN22" s="10"/>
      <c r="FO22" s="10"/>
      <c r="FP22" s="10"/>
      <c r="FQ22" s="10"/>
      <c r="FR22" s="10"/>
      <c r="FS22" s="10"/>
      <c r="FT22" s="10"/>
      <c r="FU22" s="10"/>
      <c r="FV22" s="10"/>
      <c r="FW22" s="10"/>
      <c r="FX22" s="10"/>
      <c r="FY22" s="10"/>
      <c r="FZ22" s="10"/>
      <c r="GA22" s="10"/>
      <c r="GB22" s="10"/>
      <c r="GC22" s="10"/>
      <c r="GD22" s="10"/>
      <c r="GE22" s="10"/>
      <c r="GF22" s="10"/>
      <c r="GG22" s="10"/>
      <c r="GH22" s="10"/>
      <c r="GI22" s="10"/>
      <c r="GJ22" s="10"/>
      <c r="GK22" s="10"/>
      <c r="GL22" s="10"/>
      <c r="GM22" s="10"/>
      <c r="GN22" s="10"/>
      <c r="GO22" s="10"/>
      <c r="GP22" s="10"/>
      <c r="GQ22" s="10"/>
      <c r="GR22" s="10"/>
      <c r="GS22" s="10"/>
      <c r="GT22" s="10"/>
      <c r="GU22" s="10"/>
      <c r="GV22" s="10"/>
      <c r="GW22" s="10"/>
      <c r="GX22" s="10"/>
      <c r="GY22" s="10"/>
      <c r="GZ22" s="10"/>
      <c r="HA22" s="10"/>
      <c r="HB22" s="10"/>
      <c r="HC22" s="10"/>
      <c r="HD22" s="10"/>
      <c r="HE22" s="10"/>
      <c r="HF22" s="10"/>
      <c r="HG22" s="10"/>
      <c r="HH22" s="10"/>
      <c r="HI22" s="10"/>
      <c r="HJ22" s="10"/>
      <c r="HK22" s="10"/>
      <c r="HL22" s="10"/>
      <c r="HM22" s="10"/>
      <c r="HN22" s="10"/>
      <c r="HO22" s="10"/>
      <c r="HP22" s="10"/>
      <c r="HQ22" s="10"/>
      <c r="HR22" s="10"/>
      <c r="HS22" s="10"/>
      <c r="HT22" s="10"/>
      <c r="HU22" s="10"/>
      <c r="HV22" s="10"/>
      <c r="HW22" s="10"/>
      <c r="HX22" s="10"/>
      <c r="HY22" s="10"/>
      <c r="HZ22" s="10"/>
      <c r="IA22" s="10"/>
      <c r="IB22" s="10"/>
      <c r="IC22" s="10"/>
      <c r="ID22" s="10"/>
      <c r="IE22" s="10"/>
      <c r="IF22" s="10"/>
      <c r="IG22" s="10"/>
      <c r="IH22" s="10"/>
      <c r="II22" s="10"/>
      <c r="IJ22" s="10"/>
      <c r="IK22" s="10"/>
      <c r="IL22" s="10"/>
      <c r="IM22" s="10"/>
      <c r="IN22" s="10"/>
      <c r="IO22" s="10"/>
      <c r="IP22" s="10"/>
      <c r="IQ22" s="10"/>
      <c r="IR22" s="10"/>
      <c r="IS22" s="10"/>
      <c r="IT22" s="10"/>
      <c r="IU22" s="10"/>
      <c r="IV22" s="10"/>
    </row>
    <row r="23" spans="1:256" s="11" customFormat="1" ht="12.75" customHeight="1" x14ac:dyDescent="0.2">
      <c r="A23" s="222" t="str">
        <f>IF(Eingabe!A117="","",Eingabe!A117)</f>
        <v/>
      </c>
      <c r="B23" s="145"/>
      <c r="C23" s="145"/>
      <c r="D23" s="145" t="str">
        <f>IF(Eingabe!B117="","",Eingabe!B117)</f>
        <v/>
      </c>
      <c r="E23" s="145"/>
      <c r="F23" s="145"/>
      <c r="G23" s="145"/>
      <c r="H23" s="137" t="str">
        <f>IF(Eingabe!C117="","",Eingabe!C117)</f>
        <v/>
      </c>
      <c r="I23" s="137"/>
      <c r="J23" s="137"/>
      <c r="K23" s="137"/>
      <c r="L23" s="232" t="str">
        <f>IF(Eingabe!D117="","",Eingabe!D117)</f>
        <v/>
      </c>
      <c r="M23" s="232"/>
      <c r="N23" s="232"/>
      <c r="O23" s="232"/>
      <c r="P23" s="232"/>
      <c r="Q23" s="232"/>
      <c r="R23" s="232"/>
      <c r="S23" s="232"/>
      <c r="T23" s="232"/>
      <c r="U23" s="232"/>
      <c r="V23" s="232"/>
      <c r="W23" s="232"/>
      <c r="X23" s="232"/>
      <c r="Y23" s="232"/>
      <c r="Z23" s="232"/>
      <c r="AA23" s="232"/>
      <c r="AB23" s="232"/>
      <c r="AC23" s="232"/>
      <c r="AD23" s="232"/>
      <c r="AE23" s="232"/>
      <c r="AF23" s="232"/>
      <c r="AG23" s="232"/>
      <c r="AH23" s="251" t="str">
        <f>IF(Eingabe!F117&amp;Eingabe!G117="","",Eingabe!F117&amp;"  /  "&amp;Eingabe!G117)</f>
        <v/>
      </c>
      <c r="AI23" s="251"/>
      <c r="AJ23" s="251"/>
      <c r="AK23" s="251"/>
      <c r="AL23" s="251"/>
      <c r="AM23" s="251"/>
      <c r="AN23" s="251"/>
      <c r="AO23" s="251"/>
      <c r="AP23" s="251"/>
      <c r="AQ23" s="251"/>
      <c r="AR23" s="251"/>
      <c r="AS23" s="251"/>
      <c r="AT23" s="251"/>
      <c r="AU23" s="251"/>
      <c r="AV23" s="251"/>
      <c r="AW23" s="251"/>
      <c r="AX23" s="251"/>
      <c r="AY23" s="251"/>
      <c r="AZ23" s="251"/>
      <c r="BA23" s="251"/>
      <c r="BB23" s="251"/>
      <c r="BC23" s="251"/>
      <c r="BD23" s="251"/>
      <c r="BE23" s="246" t="str">
        <f>IF(Eingabe!I117="","",Eingabe!I117)</f>
        <v/>
      </c>
      <c r="BF23" s="246"/>
      <c r="BG23" s="246"/>
      <c r="BH23" s="246"/>
      <c r="BI23" s="246"/>
      <c r="BJ23" s="246" t="str">
        <f>IF(Eingabe!I117="","",Eingabe!I117*Eingabe!B117)</f>
        <v/>
      </c>
      <c r="BK23" s="246"/>
      <c r="BL23" s="246"/>
      <c r="BM23" s="246"/>
      <c r="BN23" s="247"/>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c r="DT23" s="10"/>
      <c r="DU23" s="10"/>
      <c r="DV23" s="10"/>
      <c r="DW23" s="10"/>
      <c r="DX23" s="10"/>
      <c r="DY23" s="10"/>
      <c r="DZ23" s="10"/>
      <c r="EA23" s="10"/>
      <c r="EB23" s="10"/>
      <c r="EC23" s="10"/>
      <c r="ED23" s="10"/>
      <c r="EE23" s="10"/>
      <c r="EF23" s="10"/>
      <c r="EG23" s="10"/>
      <c r="EH23" s="10"/>
      <c r="EI23" s="10"/>
      <c r="EJ23" s="10"/>
      <c r="EK23" s="10"/>
      <c r="EL23" s="10"/>
      <c r="EM23" s="10"/>
      <c r="EN23" s="10"/>
      <c r="EO23" s="10"/>
      <c r="EP23" s="10"/>
      <c r="EQ23" s="10"/>
      <c r="ER23" s="10"/>
      <c r="ES23" s="10"/>
      <c r="ET23" s="10"/>
      <c r="EU23" s="10"/>
      <c r="EV23" s="10"/>
      <c r="EW23" s="10"/>
      <c r="EX23" s="10"/>
      <c r="EY23" s="10"/>
      <c r="EZ23" s="10"/>
      <c r="FA23" s="10"/>
      <c r="FB23" s="10"/>
      <c r="FC23" s="10"/>
      <c r="FD23" s="10"/>
      <c r="FE23" s="10"/>
      <c r="FF23" s="10"/>
      <c r="FG23" s="10"/>
      <c r="FH23" s="10"/>
      <c r="FI23" s="10"/>
      <c r="FJ23" s="10"/>
      <c r="FK23" s="10"/>
      <c r="FL23" s="10"/>
      <c r="FM23" s="10"/>
      <c r="FN23" s="10"/>
      <c r="FO23" s="10"/>
      <c r="FP23" s="10"/>
      <c r="FQ23" s="10"/>
      <c r="FR23" s="10"/>
      <c r="FS23" s="10"/>
      <c r="FT23" s="10"/>
      <c r="FU23" s="10"/>
      <c r="FV23" s="10"/>
      <c r="FW23" s="10"/>
      <c r="FX23" s="10"/>
      <c r="FY23" s="10"/>
      <c r="FZ23" s="10"/>
      <c r="GA23" s="10"/>
      <c r="GB23" s="10"/>
      <c r="GC23" s="10"/>
      <c r="GD23" s="10"/>
      <c r="GE23" s="10"/>
      <c r="GF23" s="10"/>
      <c r="GG23" s="10"/>
      <c r="GH23" s="10"/>
      <c r="GI23" s="10"/>
      <c r="GJ23" s="10"/>
      <c r="GK23" s="10"/>
      <c r="GL23" s="10"/>
      <c r="GM23" s="10"/>
      <c r="GN23" s="10"/>
      <c r="GO23" s="10"/>
      <c r="GP23" s="10"/>
      <c r="GQ23" s="10"/>
      <c r="GR23" s="10"/>
      <c r="GS23" s="10"/>
      <c r="GT23" s="10"/>
      <c r="GU23" s="10"/>
      <c r="GV23" s="10"/>
      <c r="GW23" s="10"/>
      <c r="GX23" s="10"/>
      <c r="GY23" s="10"/>
      <c r="GZ23" s="10"/>
      <c r="HA23" s="10"/>
      <c r="HB23" s="10"/>
      <c r="HC23" s="10"/>
      <c r="HD23" s="10"/>
      <c r="HE23" s="10"/>
      <c r="HF23" s="10"/>
      <c r="HG23" s="10"/>
      <c r="HH23" s="10"/>
      <c r="HI23" s="10"/>
      <c r="HJ23" s="10"/>
      <c r="HK23" s="10"/>
      <c r="HL23" s="10"/>
      <c r="HM23" s="10"/>
      <c r="HN23" s="10"/>
      <c r="HO23" s="10"/>
      <c r="HP23" s="10"/>
      <c r="HQ23" s="10"/>
      <c r="HR23" s="10"/>
      <c r="HS23" s="10"/>
      <c r="HT23" s="10"/>
      <c r="HU23" s="10"/>
      <c r="HV23" s="10"/>
      <c r="HW23" s="10"/>
      <c r="HX23" s="10"/>
      <c r="HY23" s="10"/>
      <c r="HZ23" s="10"/>
      <c r="IA23" s="10"/>
      <c r="IB23" s="10"/>
      <c r="IC23" s="10"/>
      <c r="ID23" s="10"/>
      <c r="IE23" s="10"/>
      <c r="IF23" s="10"/>
      <c r="IG23" s="10"/>
      <c r="IH23" s="10"/>
      <c r="II23" s="10"/>
      <c r="IJ23" s="10"/>
      <c r="IK23" s="10"/>
      <c r="IL23" s="10"/>
      <c r="IM23" s="10"/>
      <c r="IN23" s="10"/>
      <c r="IO23" s="10"/>
      <c r="IP23" s="10"/>
      <c r="IQ23" s="10"/>
      <c r="IR23" s="10"/>
      <c r="IS23" s="10"/>
      <c r="IT23" s="10"/>
      <c r="IU23" s="10"/>
      <c r="IV23" s="10"/>
    </row>
    <row r="24" spans="1:256" s="11" customFormat="1" ht="12.75" customHeight="1" x14ac:dyDescent="0.2">
      <c r="A24" s="222" t="str">
        <f>IF(Eingabe!A118="","",Eingabe!A118)</f>
        <v/>
      </c>
      <c r="B24" s="145"/>
      <c r="C24" s="145"/>
      <c r="D24" s="145" t="str">
        <f>IF(Eingabe!B118="","",Eingabe!B118)</f>
        <v/>
      </c>
      <c r="E24" s="145"/>
      <c r="F24" s="145"/>
      <c r="G24" s="145"/>
      <c r="H24" s="137" t="str">
        <f>IF(Eingabe!C118="","",Eingabe!C118)</f>
        <v/>
      </c>
      <c r="I24" s="137"/>
      <c r="J24" s="137"/>
      <c r="K24" s="137"/>
      <c r="L24" s="232" t="str">
        <f>IF(Eingabe!D118="","",Eingabe!D118)</f>
        <v/>
      </c>
      <c r="M24" s="232"/>
      <c r="N24" s="232"/>
      <c r="O24" s="232"/>
      <c r="P24" s="232"/>
      <c r="Q24" s="232"/>
      <c r="R24" s="232"/>
      <c r="S24" s="232"/>
      <c r="T24" s="232"/>
      <c r="U24" s="232"/>
      <c r="V24" s="232"/>
      <c r="W24" s="232"/>
      <c r="X24" s="232"/>
      <c r="Y24" s="232"/>
      <c r="Z24" s="232"/>
      <c r="AA24" s="232"/>
      <c r="AB24" s="232"/>
      <c r="AC24" s="232"/>
      <c r="AD24" s="232"/>
      <c r="AE24" s="232"/>
      <c r="AF24" s="232"/>
      <c r="AG24" s="232"/>
      <c r="AH24" s="251" t="str">
        <f>IF(Eingabe!F118&amp;Eingabe!G118="","",Eingabe!F118&amp;"  /  "&amp;Eingabe!G118)</f>
        <v/>
      </c>
      <c r="AI24" s="251"/>
      <c r="AJ24" s="251"/>
      <c r="AK24" s="251"/>
      <c r="AL24" s="251"/>
      <c r="AM24" s="251"/>
      <c r="AN24" s="251"/>
      <c r="AO24" s="251"/>
      <c r="AP24" s="251"/>
      <c r="AQ24" s="251"/>
      <c r="AR24" s="251"/>
      <c r="AS24" s="251"/>
      <c r="AT24" s="251"/>
      <c r="AU24" s="251"/>
      <c r="AV24" s="251"/>
      <c r="AW24" s="251"/>
      <c r="AX24" s="251"/>
      <c r="AY24" s="251"/>
      <c r="AZ24" s="251"/>
      <c r="BA24" s="251"/>
      <c r="BB24" s="251"/>
      <c r="BC24" s="251"/>
      <c r="BD24" s="251"/>
      <c r="BE24" s="246" t="str">
        <f>IF(Eingabe!I118="","",Eingabe!I118)</f>
        <v/>
      </c>
      <c r="BF24" s="246"/>
      <c r="BG24" s="246"/>
      <c r="BH24" s="246"/>
      <c r="BI24" s="246"/>
      <c r="BJ24" s="246" t="str">
        <f>IF(Eingabe!I118="","",Eingabe!I118*Eingabe!B118)</f>
        <v/>
      </c>
      <c r="BK24" s="246"/>
      <c r="BL24" s="246"/>
      <c r="BM24" s="246"/>
      <c r="BN24" s="247"/>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c r="DT24" s="10"/>
      <c r="DU24" s="10"/>
      <c r="DV24" s="10"/>
      <c r="DW24" s="10"/>
      <c r="DX24" s="10"/>
      <c r="DY24" s="10"/>
      <c r="DZ24" s="10"/>
      <c r="EA24" s="10"/>
      <c r="EB24" s="10"/>
      <c r="EC24" s="10"/>
      <c r="ED24" s="10"/>
      <c r="EE24" s="10"/>
      <c r="EF24" s="10"/>
      <c r="EG24" s="10"/>
      <c r="EH24" s="10"/>
      <c r="EI24" s="10"/>
      <c r="EJ24" s="10"/>
      <c r="EK24" s="10"/>
      <c r="EL24" s="10"/>
      <c r="EM24" s="10"/>
      <c r="EN24" s="10"/>
      <c r="EO24" s="10"/>
      <c r="EP24" s="10"/>
      <c r="EQ24" s="10"/>
      <c r="ER24" s="10"/>
      <c r="ES24" s="10"/>
      <c r="ET24" s="10"/>
      <c r="EU24" s="10"/>
      <c r="EV24" s="10"/>
      <c r="EW24" s="10"/>
      <c r="EX24" s="10"/>
      <c r="EY24" s="10"/>
      <c r="EZ24" s="10"/>
      <c r="FA24" s="10"/>
      <c r="FB24" s="10"/>
      <c r="FC24" s="10"/>
      <c r="FD24" s="10"/>
      <c r="FE24" s="10"/>
      <c r="FF24" s="10"/>
      <c r="FG24" s="10"/>
      <c r="FH24" s="10"/>
      <c r="FI24" s="10"/>
      <c r="FJ24" s="10"/>
      <c r="FK24" s="10"/>
      <c r="FL24" s="10"/>
      <c r="FM24" s="10"/>
      <c r="FN24" s="10"/>
      <c r="FO24" s="10"/>
      <c r="FP24" s="10"/>
      <c r="FQ24" s="10"/>
      <c r="FR24" s="10"/>
      <c r="FS24" s="10"/>
      <c r="FT24" s="10"/>
      <c r="FU24" s="10"/>
      <c r="FV24" s="10"/>
      <c r="FW24" s="10"/>
      <c r="FX24" s="10"/>
      <c r="FY24" s="10"/>
      <c r="FZ24" s="10"/>
      <c r="GA24" s="10"/>
      <c r="GB24" s="10"/>
      <c r="GC24" s="10"/>
      <c r="GD24" s="10"/>
      <c r="GE24" s="10"/>
      <c r="GF24" s="10"/>
      <c r="GG24" s="10"/>
      <c r="GH24" s="10"/>
      <c r="GI24" s="10"/>
      <c r="GJ24" s="10"/>
      <c r="GK24" s="10"/>
      <c r="GL24" s="10"/>
      <c r="GM24" s="10"/>
      <c r="GN24" s="10"/>
      <c r="GO24" s="10"/>
      <c r="GP24" s="10"/>
      <c r="GQ24" s="10"/>
      <c r="GR24" s="10"/>
      <c r="GS24" s="10"/>
      <c r="GT24" s="10"/>
      <c r="GU24" s="10"/>
      <c r="GV24" s="10"/>
      <c r="GW24" s="10"/>
      <c r="GX24" s="10"/>
      <c r="GY24" s="10"/>
      <c r="GZ24" s="10"/>
      <c r="HA24" s="10"/>
      <c r="HB24" s="10"/>
      <c r="HC24" s="10"/>
      <c r="HD24" s="10"/>
      <c r="HE24" s="10"/>
      <c r="HF24" s="10"/>
      <c r="HG24" s="10"/>
      <c r="HH24" s="10"/>
      <c r="HI24" s="10"/>
      <c r="HJ24" s="10"/>
      <c r="HK24" s="10"/>
      <c r="HL24" s="10"/>
      <c r="HM24" s="10"/>
      <c r="HN24" s="10"/>
      <c r="HO24" s="10"/>
      <c r="HP24" s="10"/>
      <c r="HQ24" s="10"/>
      <c r="HR24" s="10"/>
      <c r="HS24" s="10"/>
      <c r="HT24" s="10"/>
      <c r="HU24" s="10"/>
      <c r="HV24" s="10"/>
      <c r="HW24" s="10"/>
      <c r="HX24" s="10"/>
      <c r="HY24" s="10"/>
      <c r="HZ24" s="10"/>
      <c r="IA24" s="10"/>
      <c r="IB24" s="10"/>
      <c r="IC24" s="10"/>
      <c r="ID24" s="10"/>
      <c r="IE24" s="10"/>
      <c r="IF24" s="10"/>
      <c r="IG24" s="10"/>
      <c r="IH24" s="10"/>
      <c r="II24" s="10"/>
      <c r="IJ24" s="10"/>
      <c r="IK24" s="10"/>
      <c r="IL24" s="10"/>
      <c r="IM24" s="10"/>
      <c r="IN24" s="10"/>
      <c r="IO24" s="10"/>
      <c r="IP24" s="10"/>
      <c r="IQ24" s="10"/>
      <c r="IR24" s="10"/>
      <c r="IS24" s="10"/>
      <c r="IT24" s="10"/>
      <c r="IU24" s="10"/>
      <c r="IV24" s="10"/>
    </row>
    <row r="25" spans="1:256" s="11" customFormat="1" ht="12.75" customHeight="1" x14ac:dyDescent="0.2">
      <c r="A25" s="222" t="str">
        <f>IF(Eingabe!A119="","",Eingabe!A119)</f>
        <v/>
      </c>
      <c r="B25" s="145"/>
      <c r="C25" s="145"/>
      <c r="D25" s="145" t="str">
        <f>IF(Eingabe!B119="","",Eingabe!B119)</f>
        <v/>
      </c>
      <c r="E25" s="145"/>
      <c r="F25" s="145"/>
      <c r="G25" s="145"/>
      <c r="H25" s="137" t="str">
        <f>IF(Eingabe!C119="","",Eingabe!C119)</f>
        <v/>
      </c>
      <c r="I25" s="137"/>
      <c r="J25" s="137"/>
      <c r="K25" s="137"/>
      <c r="L25" s="232" t="str">
        <f>IF(Eingabe!D119="","",Eingabe!D119)</f>
        <v/>
      </c>
      <c r="M25" s="232"/>
      <c r="N25" s="232"/>
      <c r="O25" s="232"/>
      <c r="P25" s="232"/>
      <c r="Q25" s="232"/>
      <c r="R25" s="232"/>
      <c r="S25" s="232"/>
      <c r="T25" s="232"/>
      <c r="U25" s="232"/>
      <c r="V25" s="232"/>
      <c r="W25" s="232"/>
      <c r="X25" s="232"/>
      <c r="Y25" s="232"/>
      <c r="Z25" s="232"/>
      <c r="AA25" s="232"/>
      <c r="AB25" s="232"/>
      <c r="AC25" s="232"/>
      <c r="AD25" s="232"/>
      <c r="AE25" s="232"/>
      <c r="AF25" s="232"/>
      <c r="AG25" s="232"/>
      <c r="AH25" s="251" t="str">
        <f>IF(Eingabe!F119&amp;Eingabe!G119="","",Eingabe!F119&amp;"  /  "&amp;Eingabe!G119)</f>
        <v/>
      </c>
      <c r="AI25" s="251"/>
      <c r="AJ25" s="251"/>
      <c r="AK25" s="251"/>
      <c r="AL25" s="251"/>
      <c r="AM25" s="251"/>
      <c r="AN25" s="251"/>
      <c r="AO25" s="251"/>
      <c r="AP25" s="251"/>
      <c r="AQ25" s="251"/>
      <c r="AR25" s="251"/>
      <c r="AS25" s="251"/>
      <c r="AT25" s="251"/>
      <c r="AU25" s="251"/>
      <c r="AV25" s="251"/>
      <c r="AW25" s="251"/>
      <c r="AX25" s="251"/>
      <c r="AY25" s="251"/>
      <c r="AZ25" s="251"/>
      <c r="BA25" s="251"/>
      <c r="BB25" s="251"/>
      <c r="BC25" s="251"/>
      <c r="BD25" s="251"/>
      <c r="BE25" s="246" t="str">
        <f>IF(Eingabe!I119="","",Eingabe!I119)</f>
        <v/>
      </c>
      <c r="BF25" s="246"/>
      <c r="BG25" s="246"/>
      <c r="BH25" s="246"/>
      <c r="BI25" s="246"/>
      <c r="BJ25" s="246" t="str">
        <f>IF(Eingabe!I119="","",Eingabe!I119*Eingabe!B119)</f>
        <v/>
      </c>
      <c r="BK25" s="246"/>
      <c r="BL25" s="246"/>
      <c r="BM25" s="246"/>
      <c r="BN25" s="247"/>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c r="DT25" s="10"/>
      <c r="DU25" s="10"/>
      <c r="DV25" s="10"/>
      <c r="DW25" s="10"/>
      <c r="DX25" s="10"/>
      <c r="DY25" s="10"/>
      <c r="DZ25" s="10"/>
      <c r="EA25" s="10"/>
      <c r="EB25" s="10"/>
      <c r="EC25" s="10"/>
      <c r="ED25" s="10"/>
      <c r="EE25" s="10"/>
      <c r="EF25" s="10"/>
      <c r="EG25" s="10"/>
      <c r="EH25" s="10"/>
      <c r="EI25" s="10"/>
      <c r="EJ25" s="10"/>
      <c r="EK25" s="10"/>
      <c r="EL25" s="10"/>
      <c r="EM25" s="10"/>
      <c r="EN25" s="10"/>
      <c r="EO25" s="10"/>
      <c r="EP25" s="10"/>
      <c r="EQ25" s="10"/>
      <c r="ER25" s="10"/>
      <c r="ES25" s="10"/>
      <c r="ET25" s="10"/>
      <c r="EU25" s="10"/>
      <c r="EV25" s="10"/>
      <c r="EW25" s="10"/>
      <c r="EX25" s="10"/>
      <c r="EY25" s="10"/>
      <c r="EZ25" s="10"/>
      <c r="FA25" s="10"/>
      <c r="FB25" s="10"/>
      <c r="FC25" s="10"/>
      <c r="FD25" s="10"/>
      <c r="FE25" s="10"/>
      <c r="FF25" s="10"/>
      <c r="FG25" s="10"/>
      <c r="FH25" s="10"/>
      <c r="FI25" s="10"/>
      <c r="FJ25" s="10"/>
      <c r="FK25" s="10"/>
      <c r="FL25" s="10"/>
      <c r="FM25" s="10"/>
      <c r="FN25" s="10"/>
      <c r="FO25" s="10"/>
      <c r="FP25" s="10"/>
      <c r="FQ25" s="10"/>
      <c r="FR25" s="10"/>
      <c r="FS25" s="10"/>
      <c r="FT25" s="10"/>
      <c r="FU25" s="10"/>
      <c r="FV25" s="10"/>
      <c r="FW25" s="10"/>
      <c r="FX25" s="10"/>
      <c r="FY25" s="10"/>
      <c r="FZ25" s="10"/>
      <c r="GA25" s="10"/>
      <c r="GB25" s="10"/>
      <c r="GC25" s="10"/>
      <c r="GD25" s="10"/>
      <c r="GE25" s="10"/>
      <c r="GF25" s="10"/>
      <c r="GG25" s="10"/>
      <c r="GH25" s="10"/>
      <c r="GI25" s="10"/>
      <c r="GJ25" s="10"/>
      <c r="GK25" s="10"/>
      <c r="GL25" s="10"/>
      <c r="GM25" s="10"/>
      <c r="GN25" s="10"/>
      <c r="GO25" s="10"/>
      <c r="GP25" s="10"/>
      <c r="GQ25" s="10"/>
      <c r="GR25" s="10"/>
      <c r="GS25" s="10"/>
      <c r="GT25" s="10"/>
      <c r="GU25" s="10"/>
      <c r="GV25" s="10"/>
      <c r="GW25" s="10"/>
      <c r="GX25" s="10"/>
      <c r="GY25" s="10"/>
      <c r="GZ25" s="10"/>
      <c r="HA25" s="10"/>
      <c r="HB25" s="10"/>
      <c r="HC25" s="10"/>
      <c r="HD25" s="10"/>
      <c r="HE25" s="10"/>
      <c r="HF25" s="10"/>
      <c r="HG25" s="10"/>
      <c r="HH25" s="10"/>
      <c r="HI25" s="10"/>
      <c r="HJ25" s="10"/>
      <c r="HK25" s="10"/>
      <c r="HL25" s="10"/>
      <c r="HM25" s="10"/>
      <c r="HN25" s="10"/>
      <c r="HO25" s="10"/>
      <c r="HP25" s="10"/>
      <c r="HQ25" s="10"/>
      <c r="HR25" s="10"/>
      <c r="HS25" s="10"/>
      <c r="HT25" s="10"/>
      <c r="HU25" s="10"/>
      <c r="HV25" s="10"/>
      <c r="HW25" s="10"/>
      <c r="HX25" s="10"/>
      <c r="HY25" s="10"/>
      <c r="HZ25" s="10"/>
      <c r="IA25" s="10"/>
      <c r="IB25" s="10"/>
      <c r="IC25" s="10"/>
      <c r="ID25" s="10"/>
      <c r="IE25" s="10"/>
      <c r="IF25" s="10"/>
      <c r="IG25" s="10"/>
      <c r="IH25" s="10"/>
      <c r="II25" s="10"/>
      <c r="IJ25" s="10"/>
      <c r="IK25" s="10"/>
      <c r="IL25" s="10"/>
      <c r="IM25" s="10"/>
      <c r="IN25" s="10"/>
      <c r="IO25" s="10"/>
      <c r="IP25" s="10"/>
      <c r="IQ25" s="10"/>
      <c r="IR25" s="10"/>
      <c r="IS25" s="10"/>
      <c r="IT25" s="10"/>
      <c r="IU25" s="10"/>
      <c r="IV25" s="10"/>
    </row>
    <row r="26" spans="1:256" s="11" customFormat="1" ht="12.75" customHeight="1" x14ac:dyDescent="0.2">
      <c r="A26" s="222" t="str">
        <f>IF(Eingabe!A120="","",Eingabe!A120)</f>
        <v/>
      </c>
      <c r="B26" s="145"/>
      <c r="C26" s="145"/>
      <c r="D26" s="145" t="str">
        <f>IF(Eingabe!B120="","",Eingabe!B120)</f>
        <v/>
      </c>
      <c r="E26" s="145"/>
      <c r="F26" s="145"/>
      <c r="G26" s="145"/>
      <c r="H26" s="137" t="str">
        <f>IF(Eingabe!C120="","",Eingabe!C120)</f>
        <v/>
      </c>
      <c r="I26" s="137"/>
      <c r="J26" s="137"/>
      <c r="K26" s="137"/>
      <c r="L26" s="232" t="str">
        <f>IF(Eingabe!D120="","",Eingabe!D120)</f>
        <v/>
      </c>
      <c r="M26" s="232"/>
      <c r="N26" s="232"/>
      <c r="O26" s="232"/>
      <c r="P26" s="232"/>
      <c r="Q26" s="232"/>
      <c r="R26" s="232"/>
      <c r="S26" s="232"/>
      <c r="T26" s="232"/>
      <c r="U26" s="232"/>
      <c r="V26" s="232"/>
      <c r="W26" s="232"/>
      <c r="X26" s="232"/>
      <c r="Y26" s="232"/>
      <c r="Z26" s="232"/>
      <c r="AA26" s="232"/>
      <c r="AB26" s="232"/>
      <c r="AC26" s="232"/>
      <c r="AD26" s="232"/>
      <c r="AE26" s="232"/>
      <c r="AF26" s="232"/>
      <c r="AG26" s="232"/>
      <c r="AH26" s="251" t="str">
        <f>IF(Eingabe!F120&amp;Eingabe!G120="","",Eingabe!F120&amp;"  /  "&amp;Eingabe!G120)</f>
        <v/>
      </c>
      <c r="AI26" s="251"/>
      <c r="AJ26" s="251"/>
      <c r="AK26" s="251"/>
      <c r="AL26" s="251"/>
      <c r="AM26" s="251"/>
      <c r="AN26" s="251"/>
      <c r="AO26" s="251"/>
      <c r="AP26" s="251"/>
      <c r="AQ26" s="251"/>
      <c r="AR26" s="251"/>
      <c r="AS26" s="251"/>
      <c r="AT26" s="251"/>
      <c r="AU26" s="251"/>
      <c r="AV26" s="251"/>
      <c r="AW26" s="251"/>
      <c r="AX26" s="251"/>
      <c r="AY26" s="251"/>
      <c r="AZ26" s="251"/>
      <c r="BA26" s="251"/>
      <c r="BB26" s="251"/>
      <c r="BC26" s="251"/>
      <c r="BD26" s="251"/>
      <c r="BE26" s="246" t="str">
        <f>IF(Eingabe!I120="","",Eingabe!I120)</f>
        <v/>
      </c>
      <c r="BF26" s="246"/>
      <c r="BG26" s="246"/>
      <c r="BH26" s="246"/>
      <c r="BI26" s="246"/>
      <c r="BJ26" s="246" t="str">
        <f>IF(Eingabe!I120="","",Eingabe!I120*Eingabe!B120)</f>
        <v/>
      </c>
      <c r="BK26" s="246"/>
      <c r="BL26" s="246"/>
      <c r="BM26" s="246"/>
      <c r="BN26" s="247"/>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c r="DT26" s="10"/>
      <c r="DU26" s="10"/>
      <c r="DV26" s="10"/>
      <c r="DW26" s="10"/>
      <c r="DX26" s="10"/>
      <c r="DY26" s="10"/>
      <c r="DZ26" s="10"/>
      <c r="EA26" s="10"/>
      <c r="EB26" s="10"/>
      <c r="EC26" s="10"/>
      <c r="ED26" s="10"/>
      <c r="EE26" s="10"/>
      <c r="EF26" s="10"/>
      <c r="EG26" s="10"/>
      <c r="EH26" s="10"/>
      <c r="EI26" s="10"/>
      <c r="EJ26" s="10"/>
      <c r="EK26" s="10"/>
      <c r="EL26" s="10"/>
      <c r="EM26" s="10"/>
      <c r="EN26" s="10"/>
      <c r="EO26" s="10"/>
      <c r="EP26" s="10"/>
      <c r="EQ26" s="10"/>
      <c r="ER26" s="10"/>
      <c r="ES26" s="10"/>
      <c r="ET26" s="10"/>
      <c r="EU26" s="10"/>
      <c r="EV26" s="10"/>
      <c r="EW26" s="10"/>
      <c r="EX26" s="10"/>
      <c r="EY26" s="10"/>
      <c r="EZ26" s="10"/>
      <c r="FA26" s="10"/>
      <c r="FB26" s="10"/>
      <c r="FC26" s="10"/>
      <c r="FD26" s="10"/>
      <c r="FE26" s="10"/>
      <c r="FF26" s="10"/>
      <c r="FG26" s="10"/>
      <c r="FH26" s="10"/>
      <c r="FI26" s="10"/>
      <c r="FJ26" s="10"/>
      <c r="FK26" s="10"/>
      <c r="FL26" s="10"/>
      <c r="FM26" s="10"/>
      <c r="FN26" s="10"/>
      <c r="FO26" s="10"/>
      <c r="FP26" s="10"/>
      <c r="FQ26" s="10"/>
      <c r="FR26" s="10"/>
      <c r="FS26" s="10"/>
      <c r="FT26" s="10"/>
      <c r="FU26" s="10"/>
      <c r="FV26" s="10"/>
      <c r="FW26" s="10"/>
      <c r="FX26" s="10"/>
      <c r="FY26" s="10"/>
      <c r="FZ26" s="10"/>
      <c r="GA26" s="10"/>
      <c r="GB26" s="10"/>
      <c r="GC26" s="10"/>
      <c r="GD26" s="10"/>
      <c r="GE26" s="10"/>
      <c r="GF26" s="10"/>
      <c r="GG26" s="10"/>
      <c r="GH26" s="10"/>
      <c r="GI26" s="10"/>
      <c r="GJ26" s="10"/>
      <c r="GK26" s="10"/>
      <c r="GL26" s="10"/>
      <c r="GM26" s="10"/>
      <c r="GN26" s="10"/>
      <c r="GO26" s="10"/>
      <c r="GP26" s="10"/>
      <c r="GQ26" s="10"/>
      <c r="GR26" s="10"/>
      <c r="GS26" s="10"/>
      <c r="GT26" s="10"/>
      <c r="GU26" s="10"/>
      <c r="GV26" s="10"/>
      <c r="GW26" s="10"/>
      <c r="GX26" s="10"/>
      <c r="GY26" s="10"/>
      <c r="GZ26" s="10"/>
      <c r="HA26" s="10"/>
      <c r="HB26" s="10"/>
      <c r="HC26" s="10"/>
      <c r="HD26" s="10"/>
      <c r="HE26" s="10"/>
      <c r="HF26" s="10"/>
      <c r="HG26" s="10"/>
      <c r="HH26" s="10"/>
      <c r="HI26" s="10"/>
      <c r="HJ26" s="10"/>
      <c r="HK26" s="10"/>
      <c r="HL26" s="10"/>
      <c r="HM26" s="10"/>
      <c r="HN26" s="10"/>
      <c r="HO26" s="10"/>
      <c r="HP26" s="10"/>
      <c r="HQ26" s="10"/>
      <c r="HR26" s="10"/>
      <c r="HS26" s="10"/>
      <c r="HT26" s="10"/>
      <c r="HU26" s="10"/>
      <c r="HV26" s="10"/>
      <c r="HW26" s="10"/>
      <c r="HX26" s="10"/>
      <c r="HY26" s="10"/>
      <c r="HZ26" s="10"/>
      <c r="IA26" s="10"/>
      <c r="IB26" s="10"/>
      <c r="IC26" s="10"/>
      <c r="ID26" s="10"/>
      <c r="IE26" s="10"/>
      <c r="IF26" s="10"/>
      <c r="IG26" s="10"/>
      <c r="IH26" s="10"/>
      <c r="II26" s="10"/>
      <c r="IJ26" s="10"/>
      <c r="IK26" s="10"/>
      <c r="IL26" s="10"/>
      <c r="IM26" s="10"/>
      <c r="IN26" s="10"/>
      <c r="IO26" s="10"/>
      <c r="IP26" s="10"/>
      <c r="IQ26" s="10"/>
      <c r="IR26" s="10"/>
      <c r="IS26" s="10"/>
      <c r="IT26" s="10"/>
      <c r="IU26" s="10"/>
      <c r="IV26" s="10"/>
    </row>
    <row r="27" spans="1:256" s="11" customFormat="1" ht="12.75" customHeight="1" x14ac:dyDescent="0.2">
      <c r="A27" s="222" t="str">
        <f>IF(Eingabe!A121="","",Eingabe!A121)</f>
        <v/>
      </c>
      <c r="B27" s="145"/>
      <c r="C27" s="145"/>
      <c r="D27" s="145" t="str">
        <f>IF(Eingabe!B121="","",Eingabe!B121)</f>
        <v/>
      </c>
      <c r="E27" s="145"/>
      <c r="F27" s="145"/>
      <c r="G27" s="145"/>
      <c r="H27" s="137" t="str">
        <f>IF(Eingabe!C121="","",Eingabe!C121)</f>
        <v/>
      </c>
      <c r="I27" s="137"/>
      <c r="J27" s="137"/>
      <c r="K27" s="137"/>
      <c r="L27" s="232" t="str">
        <f>IF(Eingabe!D121="","",Eingabe!D121)</f>
        <v/>
      </c>
      <c r="M27" s="232"/>
      <c r="N27" s="232"/>
      <c r="O27" s="232"/>
      <c r="P27" s="232"/>
      <c r="Q27" s="232"/>
      <c r="R27" s="232"/>
      <c r="S27" s="232"/>
      <c r="T27" s="232"/>
      <c r="U27" s="232"/>
      <c r="V27" s="232"/>
      <c r="W27" s="232"/>
      <c r="X27" s="232"/>
      <c r="Y27" s="232"/>
      <c r="Z27" s="232"/>
      <c r="AA27" s="232"/>
      <c r="AB27" s="232"/>
      <c r="AC27" s="232"/>
      <c r="AD27" s="232"/>
      <c r="AE27" s="232"/>
      <c r="AF27" s="232"/>
      <c r="AG27" s="232"/>
      <c r="AH27" s="251" t="str">
        <f>IF(Eingabe!F121&amp;Eingabe!G121="","",Eingabe!F121&amp;"  /  "&amp;Eingabe!G121)</f>
        <v/>
      </c>
      <c r="AI27" s="251"/>
      <c r="AJ27" s="251"/>
      <c r="AK27" s="251"/>
      <c r="AL27" s="251"/>
      <c r="AM27" s="251"/>
      <c r="AN27" s="251"/>
      <c r="AO27" s="251"/>
      <c r="AP27" s="251"/>
      <c r="AQ27" s="251"/>
      <c r="AR27" s="251"/>
      <c r="AS27" s="251"/>
      <c r="AT27" s="251"/>
      <c r="AU27" s="251"/>
      <c r="AV27" s="251"/>
      <c r="AW27" s="251"/>
      <c r="AX27" s="251"/>
      <c r="AY27" s="251"/>
      <c r="AZ27" s="251"/>
      <c r="BA27" s="251"/>
      <c r="BB27" s="251"/>
      <c r="BC27" s="251"/>
      <c r="BD27" s="251"/>
      <c r="BE27" s="246" t="str">
        <f>IF(Eingabe!I121="","",Eingabe!I121)</f>
        <v/>
      </c>
      <c r="BF27" s="246"/>
      <c r="BG27" s="246"/>
      <c r="BH27" s="246"/>
      <c r="BI27" s="246"/>
      <c r="BJ27" s="246" t="str">
        <f>IF(Eingabe!I121="","",Eingabe!I121*Eingabe!B121)</f>
        <v/>
      </c>
      <c r="BK27" s="246"/>
      <c r="BL27" s="246"/>
      <c r="BM27" s="246"/>
      <c r="BN27" s="247"/>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c r="DT27" s="10"/>
      <c r="DU27" s="10"/>
      <c r="DV27" s="10"/>
      <c r="DW27" s="10"/>
      <c r="DX27" s="10"/>
      <c r="DY27" s="10"/>
      <c r="DZ27" s="10"/>
      <c r="EA27" s="10"/>
      <c r="EB27" s="10"/>
      <c r="EC27" s="10"/>
      <c r="ED27" s="10"/>
      <c r="EE27" s="10"/>
      <c r="EF27" s="10"/>
      <c r="EG27" s="10"/>
      <c r="EH27" s="10"/>
      <c r="EI27" s="10"/>
      <c r="EJ27" s="10"/>
      <c r="EK27" s="10"/>
      <c r="EL27" s="10"/>
      <c r="EM27" s="10"/>
      <c r="EN27" s="10"/>
      <c r="EO27" s="10"/>
      <c r="EP27" s="10"/>
      <c r="EQ27" s="10"/>
      <c r="ER27" s="10"/>
      <c r="ES27" s="10"/>
      <c r="ET27" s="10"/>
      <c r="EU27" s="10"/>
      <c r="EV27" s="10"/>
      <c r="EW27" s="10"/>
      <c r="EX27" s="10"/>
      <c r="EY27" s="10"/>
      <c r="EZ27" s="10"/>
      <c r="FA27" s="10"/>
      <c r="FB27" s="10"/>
      <c r="FC27" s="10"/>
      <c r="FD27" s="10"/>
      <c r="FE27" s="10"/>
      <c r="FF27" s="10"/>
      <c r="FG27" s="10"/>
      <c r="FH27" s="10"/>
      <c r="FI27" s="10"/>
      <c r="FJ27" s="10"/>
      <c r="FK27" s="10"/>
      <c r="FL27" s="10"/>
      <c r="FM27" s="10"/>
      <c r="FN27" s="10"/>
      <c r="FO27" s="10"/>
      <c r="FP27" s="10"/>
      <c r="FQ27" s="10"/>
      <c r="FR27" s="10"/>
      <c r="FS27" s="10"/>
      <c r="FT27" s="10"/>
      <c r="FU27" s="10"/>
      <c r="FV27" s="10"/>
      <c r="FW27" s="10"/>
      <c r="FX27" s="10"/>
      <c r="FY27" s="10"/>
      <c r="FZ27" s="10"/>
      <c r="GA27" s="10"/>
      <c r="GB27" s="10"/>
      <c r="GC27" s="10"/>
      <c r="GD27" s="10"/>
      <c r="GE27" s="10"/>
      <c r="GF27" s="10"/>
      <c r="GG27" s="10"/>
      <c r="GH27" s="10"/>
      <c r="GI27" s="10"/>
      <c r="GJ27" s="10"/>
      <c r="GK27" s="10"/>
      <c r="GL27" s="10"/>
      <c r="GM27" s="10"/>
      <c r="GN27" s="10"/>
      <c r="GO27" s="10"/>
      <c r="GP27" s="10"/>
      <c r="GQ27" s="10"/>
      <c r="GR27" s="10"/>
      <c r="GS27" s="10"/>
      <c r="GT27" s="10"/>
      <c r="GU27" s="10"/>
      <c r="GV27" s="10"/>
      <c r="GW27" s="10"/>
      <c r="GX27" s="10"/>
      <c r="GY27" s="10"/>
      <c r="GZ27" s="10"/>
      <c r="HA27" s="10"/>
      <c r="HB27" s="10"/>
      <c r="HC27" s="10"/>
      <c r="HD27" s="10"/>
      <c r="HE27" s="10"/>
      <c r="HF27" s="10"/>
      <c r="HG27" s="10"/>
      <c r="HH27" s="10"/>
      <c r="HI27" s="10"/>
      <c r="HJ27" s="10"/>
      <c r="HK27" s="10"/>
      <c r="HL27" s="10"/>
      <c r="HM27" s="10"/>
      <c r="HN27" s="10"/>
      <c r="HO27" s="10"/>
      <c r="HP27" s="10"/>
      <c r="HQ27" s="10"/>
      <c r="HR27" s="10"/>
      <c r="HS27" s="10"/>
      <c r="HT27" s="10"/>
      <c r="HU27" s="10"/>
      <c r="HV27" s="10"/>
      <c r="HW27" s="10"/>
      <c r="HX27" s="10"/>
      <c r="HY27" s="10"/>
      <c r="HZ27" s="10"/>
      <c r="IA27" s="10"/>
      <c r="IB27" s="10"/>
      <c r="IC27" s="10"/>
      <c r="ID27" s="10"/>
      <c r="IE27" s="10"/>
      <c r="IF27" s="10"/>
      <c r="IG27" s="10"/>
      <c r="IH27" s="10"/>
      <c r="II27" s="10"/>
      <c r="IJ27" s="10"/>
      <c r="IK27" s="10"/>
      <c r="IL27" s="10"/>
      <c r="IM27" s="10"/>
      <c r="IN27" s="10"/>
      <c r="IO27" s="10"/>
      <c r="IP27" s="10"/>
      <c r="IQ27" s="10"/>
      <c r="IR27" s="10"/>
      <c r="IS27" s="10"/>
      <c r="IT27" s="10"/>
      <c r="IU27" s="10"/>
      <c r="IV27" s="10"/>
    </row>
    <row r="28" spans="1:256" s="11" customFormat="1" ht="12.75" customHeight="1" x14ac:dyDescent="0.2">
      <c r="A28" s="222" t="str">
        <f>IF(Eingabe!A122="","",Eingabe!A122)</f>
        <v/>
      </c>
      <c r="B28" s="145"/>
      <c r="C28" s="145"/>
      <c r="D28" s="145" t="str">
        <f>IF(Eingabe!B122="","",Eingabe!B122)</f>
        <v/>
      </c>
      <c r="E28" s="145"/>
      <c r="F28" s="145"/>
      <c r="G28" s="145"/>
      <c r="H28" s="137" t="str">
        <f>IF(Eingabe!C122="","",Eingabe!C122)</f>
        <v/>
      </c>
      <c r="I28" s="137"/>
      <c r="J28" s="137"/>
      <c r="K28" s="137"/>
      <c r="L28" s="232" t="str">
        <f>IF(Eingabe!D122="","",Eingabe!D122)</f>
        <v/>
      </c>
      <c r="M28" s="232"/>
      <c r="N28" s="232"/>
      <c r="O28" s="232"/>
      <c r="P28" s="232"/>
      <c r="Q28" s="232"/>
      <c r="R28" s="232"/>
      <c r="S28" s="232"/>
      <c r="T28" s="232"/>
      <c r="U28" s="232"/>
      <c r="V28" s="232"/>
      <c r="W28" s="232"/>
      <c r="X28" s="232"/>
      <c r="Y28" s="232"/>
      <c r="Z28" s="232"/>
      <c r="AA28" s="232"/>
      <c r="AB28" s="232"/>
      <c r="AC28" s="232"/>
      <c r="AD28" s="232"/>
      <c r="AE28" s="232"/>
      <c r="AF28" s="232"/>
      <c r="AG28" s="232"/>
      <c r="AH28" s="251" t="str">
        <f>IF(Eingabe!F122&amp;Eingabe!G122="","",Eingabe!F122&amp;"  /  "&amp;Eingabe!G122)</f>
        <v/>
      </c>
      <c r="AI28" s="251"/>
      <c r="AJ28" s="251"/>
      <c r="AK28" s="251"/>
      <c r="AL28" s="251"/>
      <c r="AM28" s="251"/>
      <c r="AN28" s="251"/>
      <c r="AO28" s="251"/>
      <c r="AP28" s="251"/>
      <c r="AQ28" s="251"/>
      <c r="AR28" s="251"/>
      <c r="AS28" s="251"/>
      <c r="AT28" s="251"/>
      <c r="AU28" s="251"/>
      <c r="AV28" s="251"/>
      <c r="AW28" s="251"/>
      <c r="AX28" s="251"/>
      <c r="AY28" s="251"/>
      <c r="AZ28" s="251"/>
      <c r="BA28" s="251"/>
      <c r="BB28" s="251"/>
      <c r="BC28" s="251"/>
      <c r="BD28" s="251"/>
      <c r="BE28" s="246" t="str">
        <f>IF(Eingabe!I122="","",Eingabe!I122)</f>
        <v/>
      </c>
      <c r="BF28" s="246"/>
      <c r="BG28" s="246"/>
      <c r="BH28" s="246"/>
      <c r="BI28" s="246"/>
      <c r="BJ28" s="246" t="str">
        <f>IF(Eingabe!I122="","",Eingabe!I122*Eingabe!B122)</f>
        <v/>
      </c>
      <c r="BK28" s="246"/>
      <c r="BL28" s="246"/>
      <c r="BM28" s="246"/>
      <c r="BN28" s="247"/>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c r="DT28" s="10"/>
      <c r="DU28" s="10"/>
      <c r="DV28" s="10"/>
      <c r="DW28" s="10"/>
      <c r="DX28" s="10"/>
      <c r="DY28" s="10"/>
      <c r="DZ28" s="10"/>
      <c r="EA28" s="10"/>
      <c r="EB28" s="10"/>
      <c r="EC28" s="10"/>
      <c r="ED28" s="10"/>
      <c r="EE28" s="10"/>
      <c r="EF28" s="10"/>
      <c r="EG28" s="10"/>
      <c r="EH28" s="10"/>
      <c r="EI28" s="10"/>
      <c r="EJ28" s="10"/>
      <c r="EK28" s="10"/>
      <c r="EL28" s="10"/>
      <c r="EM28" s="10"/>
      <c r="EN28" s="10"/>
      <c r="EO28" s="10"/>
      <c r="EP28" s="10"/>
      <c r="EQ28" s="10"/>
      <c r="ER28" s="10"/>
      <c r="ES28" s="10"/>
      <c r="ET28" s="10"/>
      <c r="EU28" s="10"/>
      <c r="EV28" s="10"/>
      <c r="EW28" s="10"/>
      <c r="EX28" s="10"/>
      <c r="EY28" s="10"/>
      <c r="EZ28" s="10"/>
      <c r="FA28" s="10"/>
      <c r="FB28" s="10"/>
      <c r="FC28" s="10"/>
      <c r="FD28" s="10"/>
      <c r="FE28" s="10"/>
      <c r="FF28" s="10"/>
      <c r="FG28" s="10"/>
      <c r="FH28" s="10"/>
      <c r="FI28" s="10"/>
      <c r="FJ28" s="10"/>
      <c r="FK28" s="10"/>
      <c r="FL28" s="10"/>
      <c r="FM28" s="10"/>
      <c r="FN28" s="10"/>
      <c r="FO28" s="10"/>
      <c r="FP28" s="10"/>
      <c r="FQ28" s="10"/>
      <c r="FR28" s="10"/>
      <c r="FS28" s="10"/>
      <c r="FT28" s="10"/>
      <c r="FU28" s="10"/>
      <c r="FV28" s="10"/>
      <c r="FW28" s="10"/>
      <c r="FX28" s="10"/>
      <c r="FY28" s="10"/>
      <c r="FZ28" s="10"/>
      <c r="GA28" s="10"/>
      <c r="GB28" s="10"/>
      <c r="GC28" s="10"/>
      <c r="GD28" s="10"/>
      <c r="GE28" s="10"/>
      <c r="GF28" s="10"/>
      <c r="GG28" s="10"/>
      <c r="GH28" s="10"/>
      <c r="GI28" s="10"/>
      <c r="GJ28" s="10"/>
      <c r="GK28" s="10"/>
      <c r="GL28" s="10"/>
      <c r="GM28" s="10"/>
      <c r="GN28" s="10"/>
      <c r="GO28" s="10"/>
      <c r="GP28" s="10"/>
      <c r="GQ28" s="10"/>
      <c r="GR28" s="10"/>
      <c r="GS28" s="10"/>
      <c r="GT28" s="10"/>
      <c r="GU28" s="10"/>
      <c r="GV28" s="10"/>
      <c r="GW28" s="10"/>
      <c r="GX28" s="10"/>
      <c r="GY28" s="10"/>
      <c r="GZ28" s="10"/>
      <c r="HA28" s="10"/>
      <c r="HB28" s="10"/>
      <c r="HC28" s="10"/>
      <c r="HD28" s="10"/>
      <c r="HE28" s="10"/>
      <c r="HF28" s="10"/>
      <c r="HG28" s="10"/>
      <c r="HH28" s="10"/>
      <c r="HI28" s="10"/>
      <c r="HJ28" s="10"/>
      <c r="HK28" s="10"/>
      <c r="HL28" s="10"/>
      <c r="HM28" s="10"/>
      <c r="HN28" s="10"/>
      <c r="HO28" s="10"/>
      <c r="HP28" s="10"/>
      <c r="HQ28" s="10"/>
      <c r="HR28" s="10"/>
      <c r="HS28" s="10"/>
      <c r="HT28" s="10"/>
      <c r="HU28" s="10"/>
      <c r="HV28" s="10"/>
      <c r="HW28" s="10"/>
      <c r="HX28" s="10"/>
      <c r="HY28" s="10"/>
      <c r="HZ28" s="10"/>
      <c r="IA28" s="10"/>
      <c r="IB28" s="10"/>
      <c r="IC28" s="10"/>
      <c r="ID28" s="10"/>
      <c r="IE28" s="10"/>
      <c r="IF28" s="10"/>
      <c r="IG28" s="10"/>
      <c r="IH28" s="10"/>
      <c r="II28" s="10"/>
      <c r="IJ28" s="10"/>
      <c r="IK28" s="10"/>
      <c r="IL28" s="10"/>
      <c r="IM28" s="10"/>
      <c r="IN28" s="10"/>
      <c r="IO28" s="10"/>
      <c r="IP28" s="10"/>
      <c r="IQ28" s="10"/>
      <c r="IR28" s="10"/>
      <c r="IS28" s="10"/>
      <c r="IT28" s="10"/>
      <c r="IU28" s="10"/>
      <c r="IV28" s="10"/>
    </row>
    <row r="29" spans="1:256" s="11" customFormat="1" ht="12.75" customHeight="1" x14ac:dyDescent="0.2">
      <c r="A29" s="222" t="str">
        <f>IF(Eingabe!A123="","",Eingabe!A123)</f>
        <v/>
      </c>
      <c r="B29" s="145"/>
      <c r="C29" s="145"/>
      <c r="D29" s="145" t="str">
        <f>IF(Eingabe!B123="","",Eingabe!B123)</f>
        <v/>
      </c>
      <c r="E29" s="145"/>
      <c r="F29" s="145"/>
      <c r="G29" s="145"/>
      <c r="H29" s="137" t="str">
        <f>IF(Eingabe!C123="","",Eingabe!C123)</f>
        <v/>
      </c>
      <c r="I29" s="137"/>
      <c r="J29" s="137"/>
      <c r="K29" s="137"/>
      <c r="L29" s="232" t="str">
        <f>IF(Eingabe!D123="","",Eingabe!D123)</f>
        <v/>
      </c>
      <c r="M29" s="232"/>
      <c r="N29" s="232"/>
      <c r="O29" s="232"/>
      <c r="P29" s="232"/>
      <c r="Q29" s="232"/>
      <c r="R29" s="232"/>
      <c r="S29" s="232"/>
      <c r="T29" s="232"/>
      <c r="U29" s="232"/>
      <c r="V29" s="232"/>
      <c r="W29" s="232"/>
      <c r="X29" s="232"/>
      <c r="Y29" s="232"/>
      <c r="Z29" s="232"/>
      <c r="AA29" s="232"/>
      <c r="AB29" s="232"/>
      <c r="AC29" s="232"/>
      <c r="AD29" s="232"/>
      <c r="AE29" s="232"/>
      <c r="AF29" s="232"/>
      <c r="AG29" s="232"/>
      <c r="AH29" s="251" t="str">
        <f>IF(Eingabe!F123&amp;Eingabe!G123="","",Eingabe!F123&amp;"  /  "&amp;Eingabe!G123)</f>
        <v/>
      </c>
      <c r="AI29" s="251"/>
      <c r="AJ29" s="251"/>
      <c r="AK29" s="251"/>
      <c r="AL29" s="251"/>
      <c r="AM29" s="251"/>
      <c r="AN29" s="251"/>
      <c r="AO29" s="251"/>
      <c r="AP29" s="251"/>
      <c r="AQ29" s="251"/>
      <c r="AR29" s="251"/>
      <c r="AS29" s="251"/>
      <c r="AT29" s="251"/>
      <c r="AU29" s="251"/>
      <c r="AV29" s="251"/>
      <c r="AW29" s="251"/>
      <c r="AX29" s="251"/>
      <c r="AY29" s="251"/>
      <c r="AZ29" s="251"/>
      <c r="BA29" s="251"/>
      <c r="BB29" s="251"/>
      <c r="BC29" s="251"/>
      <c r="BD29" s="251"/>
      <c r="BE29" s="246" t="str">
        <f>IF(Eingabe!I123="","",Eingabe!I123)</f>
        <v/>
      </c>
      <c r="BF29" s="246"/>
      <c r="BG29" s="246"/>
      <c r="BH29" s="246"/>
      <c r="BI29" s="246"/>
      <c r="BJ29" s="246" t="str">
        <f>IF(Eingabe!I123="","",Eingabe!I123*Eingabe!B123)</f>
        <v/>
      </c>
      <c r="BK29" s="246"/>
      <c r="BL29" s="246"/>
      <c r="BM29" s="246"/>
      <c r="BN29" s="247"/>
      <c r="BO29" s="9"/>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c r="DT29" s="10"/>
      <c r="DU29" s="10"/>
      <c r="DV29" s="10"/>
      <c r="DW29" s="10"/>
      <c r="DX29" s="10"/>
      <c r="DY29" s="10"/>
      <c r="DZ29" s="10"/>
      <c r="EA29" s="10"/>
      <c r="EB29" s="10"/>
      <c r="EC29" s="10"/>
      <c r="ED29" s="10"/>
      <c r="EE29" s="10"/>
      <c r="EF29" s="10"/>
      <c r="EG29" s="10"/>
      <c r="EH29" s="10"/>
      <c r="EI29" s="10"/>
      <c r="EJ29" s="10"/>
      <c r="EK29" s="10"/>
      <c r="EL29" s="10"/>
      <c r="EM29" s="10"/>
      <c r="EN29" s="10"/>
      <c r="EO29" s="10"/>
      <c r="EP29" s="10"/>
      <c r="EQ29" s="10"/>
      <c r="ER29" s="10"/>
      <c r="ES29" s="10"/>
      <c r="ET29" s="10"/>
      <c r="EU29" s="10"/>
      <c r="EV29" s="10"/>
      <c r="EW29" s="10"/>
      <c r="EX29" s="10"/>
      <c r="EY29" s="10"/>
      <c r="EZ29" s="10"/>
      <c r="FA29" s="10"/>
      <c r="FB29" s="10"/>
      <c r="FC29" s="10"/>
      <c r="FD29" s="10"/>
      <c r="FE29" s="10"/>
      <c r="FF29" s="10"/>
      <c r="FG29" s="10"/>
      <c r="FH29" s="10"/>
      <c r="FI29" s="10"/>
      <c r="FJ29" s="10"/>
      <c r="FK29" s="10"/>
      <c r="FL29" s="10"/>
      <c r="FM29" s="10"/>
      <c r="FN29" s="10"/>
      <c r="FO29" s="10"/>
      <c r="FP29" s="10"/>
      <c r="FQ29" s="10"/>
      <c r="FR29" s="10"/>
      <c r="FS29" s="10"/>
      <c r="FT29" s="10"/>
      <c r="FU29" s="10"/>
      <c r="FV29" s="10"/>
      <c r="FW29" s="10"/>
      <c r="FX29" s="10"/>
      <c r="FY29" s="10"/>
      <c r="FZ29" s="10"/>
      <c r="GA29" s="10"/>
      <c r="GB29" s="10"/>
      <c r="GC29" s="10"/>
      <c r="GD29" s="10"/>
      <c r="GE29" s="10"/>
      <c r="GF29" s="10"/>
      <c r="GG29" s="10"/>
      <c r="GH29" s="10"/>
      <c r="GI29" s="10"/>
      <c r="GJ29" s="10"/>
      <c r="GK29" s="10"/>
      <c r="GL29" s="10"/>
      <c r="GM29" s="10"/>
      <c r="GN29" s="10"/>
      <c r="GO29" s="10"/>
      <c r="GP29" s="10"/>
      <c r="GQ29" s="10"/>
      <c r="GR29" s="10"/>
      <c r="GS29" s="10"/>
      <c r="GT29" s="10"/>
      <c r="GU29" s="10"/>
      <c r="GV29" s="10"/>
      <c r="GW29" s="10"/>
      <c r="GX29" s="10"/>
      <c r="GY29" s="10"/>
      <c r="GZ29" s="10"/>
      <c r="HA29" s="10"/>
      <c r="HB29" s="10"/>
      <c r="HC29" s="10"/>
      <c r="HD29" s="10"/>
      <c r="HE29" s="10"/>
      <c r="HF29" s="10"/>
      <c r="HG29" s="10"/>
      <c r="HH29" s="10"/>
      <c r="HI29" s="10"/>
      <c r="HJ29" s="10"/>
      <c r="HK29" s="10"/>
      <c r="HL29" s="10"/>
      <c r="HM29" s="10"/>
      <c r="HN29" s="10"/>
      <c r="HO29" s="10"/>
      <c r="HP29" s="10"/>
      <c r="HQ29" s="10"/>
      <c r="HR29" s="10"/>
      <c r="HS29" s="10"/>
      <c r="HT29" s="10"/>
      <c r="HU29" s="10"/>
      <c r="HV29" s="10"/>
      <c r="HW29" s="10"/>
      <c r="HX29" s="10"/>
      <c r="HY29" s="10"/>
      <c r="HZ29" s="10"/>
      <c r="IA29" s="10"/>
      <c r="IB29" s="10"/>
      <c r="IC29" s="10"/>
      <c r="ID29" s="10"/>
      <c r="IE29" s="10"/>
      <c r="IF29" s="10"/>
      <c r="IG29" s="10"/>
      <c r="IH29" s="10"/>
      <c r="II29" s="10"/>
      <c r="IJ29" s="10"/>
      <c r="IK29" s="10"/>
      <c r="IL29" s="10"/>
      <c r="IM29" s="10"/>
      <c r="IN29" s="10"/>
      <c r="IO29" s="10"/>
      <c r="IP29" s="10"/>
      <c r="IQ29" s="10"/>
      <c r="IR29" s="10"/>
      <c r="IS29" s="10"/>
      <c r="IT29" s="10"/>
      <c r="IU29" s="10"/>
      <c r="IV29" s="10"/>
    </row>
    <row r="30" spans="1:256" s="11" customFormat="1" ht="12.75" customHeight="1" x14ac:dyDescent="0.2">
      <c r="A30" s="222" t="str">
        <f>IF(Eingabe!A124="","",Eingabe!A124)</f>
        <v/>
      </c>
      <c r="B30" s="145"/>
      <c r="C30" s="145"/>
      <c r="D30" s="145" t="str">
        <f>IF(Eingabe!B124="","",Eingabe!B124)</f>
        <v/>
      </c>
      <c r="E30" s="145"/>
      <c r="F30" s="145"/>
      <c r="G30" s="145"/>
      <c r="H30" s="137" t="str">
        <f>IF(Eingabe!C124="","",Eingabe!C124)</f>
        <v/>
      </c>
      <c r="I30" s="137"/>
      <c r="J30" s="137"/>
      <c r="K30" s="137"/>
      <c r="L30" s="232" t="str">
        <f>IF(Eingabe!D124="","",Eingabe!D124)</f>
        <v/>
      </c>
      <c r="M30" s="232"/>
      <c r="N30" s="232"/>
      <c r="O30" s="232"/>
      <c r="P30" s="232"/>
      <c r="Q30" s="232"/>
      <c r="R30" s="232"/>
      <c r="S30" s="232"/>
      <c r="T30" s="232"/>
      <c r="U30" s="232"/>
      <c r="V30" s="232"/>
      <c r="W30" s="232"/>
      <c r="X30" s="232"/>
      <c r="Y30" s="232"/>
      <c r="Z30" s="232"/>
      <c r="AA30" s="232"/>
      <c r="AB30" s="232"/>
      <c r="AC30" s="232"/>
      <c r="AD30" s="232"/>
      <c r="AE30" s="232"/>
      <c r="AF30" s="232"/>
      <c r="AG30" s="232"/>
      <c r="AH30" s="251" t="str">
        <f>IF(Eingabe!F124&amp;Eingabe!G124="","",Eingabe!F124&amp;"  /  "&amp;Eingabe!G124)</f>
        <v/>
      </c>
      <c r="AI30" s="251"/>
      <c r="AJ30" s="251"/>
      <c r="AK30" s="251"/>
      <c r="AL30" s="251"/>
      <c r="AM30" s="251"/>
      <c r="AN30" s="251"/>
      <c r="AO30" s="251"/>
      <c r="AP30" s="251"/>
      <c r="AQ30" s="251"/>
      <c r="AR30" s="251"/>
      <c r="AS30" s="251"/>
      <c r="AT30" s="251"/>
      <c r="AU30" s="251"/>
      <c r="AV30" s="251"/>
      <c r="AW30" s="251"/>
      <c r="AX30" s="251"/>
      <c r="AY30" s="251"/>
      <c r="AZ30" s="251"/>
      <c r="BA30" s="251"/>
      <c r="BB30" s="251"/>
      <c r="BC30" s="251"/>
      <c r="BD30" s="251"/>
      <c r="BE30" s="246" t="str">
        <f>IF(Eingabe!I124="","",Eingabe!I124)</f>
        <v/>
      </c>
      <c r="BF30" s="246"/>
      <c r="BG30" s="246"/>
      <c r="BH30" s="246"/>
      <c r="BI30" s="246"/>
      <c r="BJ30" s="246" t="str">
        <f>IF(Eingabe!I124="","",Eingabe!I124*Eingabe!B124)</f>
        <v/>
      </c>
      <c r="BK30" s="246"/>
      <c r="BL30" s="246"/>
      <c r="BM30" s="246"/>
      <c r="BN30" s="247"/>
      <c r="BO30" s="9"/>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c r="DT30" s="10"/>
      <c r="DU30" s="10"/>
      <c r="DV30" s="10"/>
      <c r="DW30" s="10"/>
      <c r="DX30" s="10"/>
      <c r="DY30" s="10"/>
      <c r="DZ30" s="10"/>
      <c r="EA30" s="10"/>
      <c r="EB30" s="10"/>
      <c r="EC30" s="10"/>
      <c r="ED30" s="10"/>
      <c r="EE30" s="10"/>
      <c r="EF30" s="10"/>
      <c r="EG30" s="10"/>
      <c r="EH30" s="10"/>
      <c r="EI30" s="10"/>
      <c r="EJ30" s="10"/>
      <c r="EK30" s="10"/>
      <c r="EL30" s="10"/>
      <c r="EM30" s="10"/>
      <c r="EN30" s="10"/>
      <c r="EO30" s="10"/>
      <c r="EP30" s="10"/>
      <c r="EQ30" s="10"/>
      <c r="ER30" s="10"/>
      <c r="ES30" s="10"/>
      <c r="ET30" s="10"/>
      <c r="EU30" s="10"/>
      <c r="EV30" s="10"/>
      <c r="EW30" s="10"/>
      <c r="EX30" s="10"/>
      <c r="EY30" s="10"/>
      <c r="EZ30" s="10"/>
      <c r="FA30" s="10"/>
      <c r="FB30" s="10"/>
      <c r="FC30" s="10"/>
      <c r="FD30" s="10"/>
      <c r="FE30" s="10"/>
      <c r="FF30" s="10"/>
      <c r="FG30" s="10"/>
      <c r="FH30" s="10"/>
      <c r="FI30" s="10"/>
      <c r="FJ30" s="10"/>
      <c r="FK30" s="10"/>
      <c r="FL30" s="10"/>
      <c r="FM30" s="10"/>
      <c r="FN30" s="10"/>
      <c r="FO30" s="10"/>
      <c r="FP30" s="10"/>
      <c r="FQ30" s="10"/>
      <c r="FR30" s="10"/>
      <c r="FS30" s="10"/>
      <c r="FT30" s="10"/>
      <c r="FU30" s="10"/>
      <c r="FV30" s="10"/>
      <c r="FW30" s="10"/>
      <c r="FX30" s="10"/>
      <c r="FY30" s="10"/>
      <c r="FZ30" s="10"/>
      <c r="GA30" s="10"/>
      <c r="GB30" s="10"/>
      <c r="GC30" s="10"/>
      <c r="GD30" s="10"/>
      <c r="GE30" s="10"/>
      <c r="GF30" s="10"/>
      <c r="GG30" s="10"/>
      <c r="GH30" s="10"/>
      <c r="GI30" s="10"/>
      <c r="GJ30" s="10"/>
      <c r="GK30" s="10"/>
      <c r="GL30" s="10"/>
      <c r="GM30" s="10"/>
      <c r="GN30" s="10"/>
      <c r="GO30" s="10"/>
      <c r="GP30" s="10"/>
      <c r="GQ30" s="10"/>
      <c r="GR30" s="10"/>
      <c r="GS30" s="10"/>
      <c r="GT30" s="10"/>
      <c r="GU30" s="10"/>
      <c r="GV30" s="10"/>
      <c r="GW30" s="10"/>
      <c r="GX30" s="10"/>
      <c r="GY30" s="10"/>
      <c r="GZ30" s="10"/>
      <c r="HA30" s="10"/>
      <c r="HB30" s="10"/>
      <c r="HC30" s="10"/>
      <c r="HD30" s="10"/>
      <c r="HE30" s="10"/>
      <c r="HF30" s="10"/>
      <c r="HG30" s="10"/>
      <c r="HH30" s="10"/>
      <c r="HI30" s="10"/>
      <c r="HJ30" s="10"/>
      <c r="HK30" s="10"/>
      <c r="HL30" s="10"/>
      <c r="HM30" s="10"/>
      <c r="HN30" s="10"/>
      <c r="HO30" s="10"/>
      <c r="HP30" s="10"/>
      <c r="HQ30" s="10"/>
      <c r="HR30" s="10"/>
      <c r="HS30" s="10"/>
      <c r="HT30" s="10"/>
      <c r="HU30" s="10"/>
      <c r="HV30" s="10"/>
      <c r="HW30" s="10"/>
      <c r="HX30" s="10"/>
      <c r="HY30" s="10"/>
      <c r="HZ30" s="10"/>
      <c r="IA30" s="10"/>
      <c r="IB30" s="10"/>
      <c r="IC30" s="10"/>
      <c r="ID30" s="10"/>
      <c r="IE30" s="10"/>
      <c r="IF30" s="10"/>
      <c r="IG30" s="10"/>
      <c r="IH30" s="10"/>
      <c r="II30" s="10"/>
      <c r="IJ30" s="10"/>
      <c r="IK30" s="10"/>
      <c r="IL30" s="10"/>
      <c r="IM30" s="10"/>
      <c r="IN30" s="10"/>
      <c r="IO30" s="10"/>
      <c r="IP30" s="10"/>
      <c r="IQ30" s="10"/>
      <c r="IR30" s="10"/>
      <c r="IS30" s="10"/>
      <c r="IT30" s="10"/>
      <c r="IU30" s="10"/>
      <c r="IV30" s="10"/>
    </row>
    <row r="31" spans="1:256" s="11" customFormat="1" ht="12.75" customHeight="1" x14ac:dyDescent="0.2">
      <c r="A31" s="222" t="str">
        <f>IF(Eingabe!A125="","",Eingabe!A125)</f>
        <v/>
      </c>
      <c r="B31" s="145"/>
      <c r="C31" s="145"/>
      <c r="D31" s="145" t="str">
        <f>IF(Eingabe!B125="","",Eingabe!B125)</f>
        <v/>
      </c>
      <c r="E31" s="145"/>
      <c r="F31" s="145"/>
      <c r="G31" s="145"/>
      <c r="H31" s="137" t="str">
        <f>IF(Eingabe!C125="","",Eingabe!C125)</f>
        <v/>
      </c>
      <c r="I31" s="137"/>
      <c r="J31" s="137"/>
      <c r="K31" s="137"/>
      <c r="L31" s="232" t="str">
        <f>IF(Eingabe!D125="","",Eingabe!D125)</f>
        <v/>
      </c>
      <c r="M31" s="232"/>
      <c r="N31" s="232"/>
      <c r="O31" s="232"/>
      <c r="P31" s="232"/>
      <c r="Q31" s="232"/>
      <c r="R31" s="232"/>
      <c r="S31" s="232"/>
      <c r="T31" s="232"/>
      <c r="U31" s="232"/>
      <c r="V31" s="232"/>
      <c r="W31" s="232"/>
      <c r="X31" s="232"/>
      <c r="Y31" s="232"/>
      <c r="Z31" s="232"/>
      <c r="AA31" s="232"/>
      <c r="AB31" s="232"/>
      <c r="AC31" s="232"/>
      <c r="AD31" s="232"/>
      <c r="AE31" s="232"/>
      <c r="AF31" s="232"/>
      <c r="AG31" s="232"/>
      <c r="AH31" s="251" t="str">
        <f>IF(Eingabe!F125&amp;Eingabe!G125="","",Eingabe!F125&amp;"  /  "&amp;Eingabe!G125)</f>
        <v/>
      </c>
      <c r="AI31" s="251"/>
      <c r="AJ31" s="251"/>
      <c r="AK31" s="251"/>
      <c r="AL31" s="251"/>
      <c r="AM31" s="251"/>
      <c r="AN31" s="251"/>
      <c r="AO31" s="251"/>
      <c r="AP31" s="251"/>
      <c r="AQ31" s="251"/>
      <c r="AR31" s="251"/>
      <c r="AS31" s="251"/>
      <c r="AT31" s="251"/>
      <c r="AU31" s="251"/>
      <c r="AV31" s="251"/>
      <c r="AW31" s="251"/>
      <c r="AX31" s="251"/>
      <c r="AY31" s="251"/>
      <c r="AZ31" s="251"/>
      <c r="BA31" s="251"/>
      <c r="BB31" s="251"/>
      <c r="BC31" s="251"/>
      <c r="BD31" s="251"/>
      <c r="BE31" s="246" t="str">
        <f>IF(Eingabe!I125="","",Eingabe!I125)</f>
        <v/>
      </c>
      <c r="BF31" s="246"/>
      <c r="BG31" s="246"/>
      <c r="BH31" s="246"/>
      <c r="BI31" s="246"/>
      <c r="BJ31" s="246" t="str">
        <f>IF(Eingabe!I125="","",Eingabe!I125*Eingabe!B125)</f>
        <v/>
      </c>
      <c r="BK31" s="246"/>
      <c r="BL31" s="246"/>
      <c r="BM31" s="246"/>
      <c r="BN31" s="247"/>
      <c r="BO31" s="9"/>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c r="DT31" s="10"/>
      <c r="DU31" s="10"/>
      <c r="DV31" s="10"/>
      <c r="DW31" s="10"/>
      <c r="DX31" s="10"/>
      <c r="DY31" s="10"/>
      <c r="DZ31" s="10"/>
      <c r="EA31" s="10"/>
      <c r="EB31" s="10"/>
      <c r="EC31" s="10"/>
      <c r="ED31" s="10"/>
      <c r="EE31" s="10"/>
      <c r="EF31" s="10"/>
      <c r="EG31" s="10"/>
      <c r="EH31" s="10"/>
      <c r="EI31" s="10"/>
      <c r="EJ31" s="10"/>
      <c r="EK31" s="10"/>
      <c r="EL31" s="10"/>
      <c r="EM31" s="10"/>
      <c r="EN31" s="10"/>
      <c r="EO31" s="10"/>
      <c r="EP31" s="10"/>
      <c r="EQ31" s="10"/>
      <c r="ER31" s="10"/>
      <c r="ES31" s="10"/>
      <c r="ET31" s="10"/>
      <c r="EU31" s="10"/>
      <c r="EV31" s="10"/>
      <c r="EW31" s="10"/>
      <c r="EX31" s="10"/>
      <c r="EY31" s="10"/>
      <c r="EZ31" s="10"/>
      <c r="FA31" s="10"/>
      <c r="FB31" s="10"/>
      <c r="FC31" s="10"/>
      <c r="FD31" s="10"/>
      <c r="FE31" s="10"/>
      <c r="FF31" s="10"/>
      <c r="FG31" s="10"/>
      <c r="FH31" s="10"/>
      <c r="FI31" s="10"/>
      <c r="FJ31" s="10"/>
      <c r="FK31" s="10"/>
      <c r="FL31" s="10"/>
      <c r="FM31" s="10"/>
      <c r="FN31" s="10"/>
      <c r="FO31" s="10"/>
      <c r="FP31" s="10"/>
      <c r="FQ31" s="10"/>
      <c r="FR31" s="10"/>
      <c r="FS31" s="10"/>
      <c r="FT31" s="10"/>
      <c r="FU31" s="10"/>
      <c r="FV31" s="10"/>
      <c r="FW31" s="10"/>
      <c r="FX31" s="10"/>
      <c r="FY31" s="10"/>
      <c r="FZ31" s="10"/>
      <c r="GA31" s="10"/>
      <c r="GB31" s="10"/>
      <c r="GC31" s="10"/>
      <c r="GD31" s="10"/>
      <c r="GE31" s="10"/>
      <c r="GF31" s="10"/>
      <c r="GG31" s="10"/>
      <c r="GH31" s="10"/>
      <c r="GI31" s="10"/>
      <c r="GJ31" s="10"/>
      <c r="GK31" s="10"/>
      <c r="GL31" s="10"/>
      <c r="GM31" s="10"/>
      <c r="GN31" s="10"/>
      <c r="GO31" s="10"/>
      <c r="GP31" s="10"/>
      <c r="GQ31" s="10"/>
      <c r="GR31" s="10"/>
      <c r="GS31" s="10"/>
      <c r="GT31" s="10"/>
      <c r="GU31" s="10"/>
      <c r="GV31" s="10"/>
      <c r="GW31" s="10"/>
      <c r="GX31" s="10"/>
      <c r="GY31" s="10"/>
      <c r="GZ31" s="10"/>
      <c r="HA31" s="10"/>
      <c r="HB31" s="10"/>
      <c r="HC31" s="10"/>
      <c r="HD31" s="10"/>
      <c r="HE31" s="10"/>
      <c r="HF31" s="10"/>
      <c r="HG31" s="10"/>
      <c r="HH31" s="10"/>
      <c r="HI31" s="10"/>
      <c r="HJ31" s="10"/>
      <c r="HK31" s="10"/>
      <c r="HL31" s="10"/>
      <c r="HM31" s="10"/>
      <c r="HN31" s="10"/>
      <c r="HO31" s="10"/>
      <c r="HP31" s="10"/>
      <c r="HQ31" s="10"/>
      <c r="HR31" s="10"/>
      <c r="HS31" s="10"/>
      <c r="HT31" s="10"/>
      <c r="HU31" s="10"/>
      <c r="HV31" s="10"/>
      <c r="HW31" s="10"/>
      <c r="HX31" s="10"/>
      <c r="HY31" s="10"/>
      <c r="HZ31" s="10"/>
      <c r="IA31" s="10"/>
      <c r="IB31" s="10"/>
      <c r="IC31" s="10"/>
      <c r="ID31" s="10"/>
      <c r="IE31" s="10"/>
      <c r="IF31" s="10"/>
      <c r="IG31" s="10"/>
      <c r="IH31" s="10"/>
      <c r="II31" s="10"/>
      <c r="IJ31" s="10"/>
      <c r="IK31" s="10"/>
      <c r="IL31" s="10"/>
      <c r="IM31" s="10"/>
      <c r="IN31" s="10"/>
      <c r="IO31" s="10"/>
      <c r="IP31" s="10"/>
      <c r="IQ31" s="10"/>
      <c r="IR31" s="10"/>
      <c r="IS31" s="10"/>
      <c r="IT31" s="10"/>
      <c r="IU31" s="10"/>
      <c r="IV31" s="10"/>
    </row>
    <row r="32" spans="1:256" s="11" customFormat="1" ht="12.75" customHeight="1" x14ac:dyDescent="0.2">
      <c r="A32" s="222" t="str">
        <f>IF(Eingabe!A126="","",Eingabe!A126)</f>
        <v/>
      </c>
      <c r="B32" s="145"/>
      <c r="C32" s="145"/>
      <c r="D32" s="145" t="str">
        <f>IF(Eingabe!B126="","",Eingabe!B126)</f>
        <v/>
      </c>
      <c r="E32" s="145"/>
      <c r="F32" s="145"/>
      <c r="G32" s="145"/>
      <c r="H32" s="137" t="str">
        <f>IF(Eingabe!C126="","",Eingabe!C126)</f>
        <v/>
      </c>
      <c r="I32" s="137"/>
      <c r="J32" s="137"/>
      <c r="K32" s="137"/>
      <c r="L32" s="232" t="str">
        <f>IF(Eingabe!D126="","",Eingabe!D126)</f>
        <v/>
      </c>
      <c r="M32" s="232"/>
      <c r="N32" s="232"/>
      <c r="O32" s="232"/>
      <c r="P32" s="232"/>
      <c r="Q32" s="232"/>
      <c r="R32" s="232"/>
      <c r="S32" s="232"/>
      <c r="T32" s="232"/>
      <c r="U32" s="232"/>
      <c r="V32" s="232"/>
      <c r="W32" s="232"/>
      <c r="X32" s="232"/>
      <c r="Y32" s="232"/>
      <c r="Z32" s="232"/>
      <c r="AA32" s="232"/>
      <c r="AB32" s="232"/>
      <c r="AC32" s="232"/>
      <c r="AD32" s="232"/>
      <c r="AE32" s="232"/>
      <c r="AF32" s="232"/>
      <c r="AG32" s="232"/>
      <c r="AH32" s="251" t="str">
        <f>IF(Eingabe!F126&amp;Eingabe!G126="","",Eingabe!F126&amp;"  /  "&amp;Eingabe!G126)</f>
        <v/>
      </c>
      <c r="AI32" s="251"/>
      <c r="AJ32" s="251"/>
      <c r="AK32" s="251"/>
      <c r="AL32" s="251"/>
      <c r="AM32" s="251"/>
      <c r="AN32" s="251"/>
      <c r="AO32" s="251"/>
      <c r="AP32" s="251"/>
      <c r="AQ32" s="251"/>
      <c r="AR32" s="251"/>
      <c r="AS32" s="251"/>
      <c r="AT32" s="251"/>
      <c r="AU32" s="251"/>
      <c r="AV32" s="251"/>
      <c r="AW32" s="251"/>
      <c r="AX32" s="251"/>
      <c r="AY32" s="251"/>
      <c r="AZ32" s="251"/>
      <c r="BA32" s="251"/>
      <c r="BB32" s="251"/>
      <c r="BC32" s="251"/>
      <c r="BD32" s="251"/>
      <c r="BE32" s="246" t="str">
        <f>IF(Eingabe!I126="","",Eingabe!I126)</f>
        <v/>
      </c>
      <c r="BF32" s="246"/>
      <c r="BG32" s="246"/>
      <c r="BH32" s="246"/>
      <c r="BI32" s="246"/>
      <c r="BJ32" s="246" t="str">
        <f>IF(Eingabe!I126="","",Eingabe!I126*Eingabe!B126)</f>
        <v/>
      </c>
      <c r="BK32" s="246"/>
      <c r="BL32" s="246"/>
      <c r="BM32" s="246"/>
      <c r="BN32" s="247"/>
      <c r="BO32" s="9"/>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c r="DT32" s="10"/>
      <c r="DU32" s="10"/>
      <c r="DV32" s="10"/>
      <c r="DW32" s="10"/>
      <c r="DX32" s="10"/>
      <c r="DY32" s="10"/>
      <c r="DZ32" s="10"/>
      <c r="EA32" s="10"/>
      <c r="EB32" s="10"/>
      <c r="EC32" s="10"/>
      <c r="ED32" s="10"/>
      <c r="EE32" s="10"/>
      <c r="EF32" s="10"/>
      <c r="EG32" s="10"/>
      <c r="EH32" s="10"/>
      <c r="EI32" s="10"/>
      <c r="EJ32" s="10"/>
      <c r="EK32" s="10"/>
      <c r="EL32" s="10"/>
      <c r="EM32" s="10"/>
      <c r="EN32" s="10"/>
      <c r="EO32" s="10"/>
      <c r="EP32" s="10"/>
      <c r="EQ32" s="10"/>
      <c r="ER32" s="10"/>
      <c r="ES32" s="10"/>
      <c r="ET32" s="10"/>
      <c r="EU32" s="10"/>
      <c r="EV32" s="10"/>
      <c r="EW32" s="10"/>
      <c r="EX32" s="10"/>
      <c r="EY32" s="10"/>
      <c r="EZ32" s="10"/>
      <c r="FA32" s="10"/>
      <c r="FB32" s="10"/>
      <c r="FC32" s="10"/>
      <c r="FD32" s="10"/>
      <c r="FE32" s="10"/>
      <c r="FF32" s="10"/>
      <c r="FG32" s="10"/>
      <c r="FH32" s="10"/>
      <c r="FI32" s="10"/>
      <c r="FJ32" s="10"/>
      <c r="FK32" s="10"/>
      <c r="FL32" s="10"/>
      <c r="FM32" s="10"/>
      <c r="FN32" s="10"/>
      <c r="FO32" s="10"/>
      <c r="FP32" s="10"/>
      <c r="FQ32" s="10"/>
      <c r="FR32" s="10"/>
      <c r="FS32" s="10"/>
      <c r="FT32" s="10"/>
      <c r="FU32" s="10"/>
      <c r="FV32" s="10"/>
      <c r="FW32" s="10"/>
      <c r="FX32" s="10"/>
      <c r="FY32" s="10"/>
      <c r="FZ32" s="10"/>
      <c r="GA32" s="10"/>
      <c r="GB32" s="10"/>
      <c r="GC32" s="10"/>
      <c r="GD32" s="10"/>
      <c r="GE32" s="10"/>
      <c r="GF32" s="10"/>
      <c r="GG32" s="10"/>
      <c r="GH32" s="10"/>
      <c r="GI32" s="10"/>
      <c r="GJ32" s="10"/>
      <c r="GK32" s="10"/>
      <c r="GL32" s="10"/>
      <c r="GM32" s="10"/>
      <c r="GN32" s="10"/>
      <c r="GO32" s="10"/>
      <c r="GP32" s="10"/>
      <c r="GQ32" s="10"/>
      <c r="GR32" s="10"/>
      <c r="GS32" s="10"/>
      <c r="GT32" s="10"/>
      <c r="GU32" s="10"/>
      <c r="GV32" s="10"/>
      <c r="GW32" s="10"/>
      <c r="GX32" s="10"/>
      <c r="GY32" s="10"/>
      <c r="GZ32" s="10"/>
      <c r="HA32" s="10"/>
      <c r="HB32" s="10"/>
      <c r="HC32" s="10"/>
      <c r="HD32" s="10"/>
      <c r="HE32" s="10"/>
      <c r="HF32" s="10"/>
      <c r="HG32" s="10"/>
      <c r="HH32" s="10"/>
      <c r="HI32" s="10"/>
      <c r="HJ32" s="10"/>
      <c r="HK32" s="10"/>
      <c r="HL32" s="10"/>
      <c r="HM32" s="10"/>
      <c r="HN32" s="10"/>
      <c r="HO32" s="10"/>
      <c r="HP32" s="10"/>
      <c r="HQ32" s="10"/>
      <c r="HR32" s="10"/>
      <c r="HS32" s="10"/>
      <c r="HT32" s="10"/>
      <c r="HU32" s="10"/>
      <c r="HV32" s="10"/>
      <c r="HW32" s="10"/>
      <c r="HX32" s="10"/>
      <c r="HY32" s="10"/>
      <c r="HZ32" s="10"/>
      <c r="IA32" s="10"/>
      <c r="IB32" s="10"/>
      <c r="IC32" s="10"/>
      <c r="ID32" s="10"/>
      <c r="IE32" s="10"/>
      <c r="IF32" s="10"/>
      <c r="IG32" s="10"/>
      <c r="IH32" s="10"/>
      <c r="II32" s="10"/>
      <c r="IJ32" s="10"/>
      <c r="IK32" s="10"/>
      <c r="IL32" s="10"/>
      <c r="IM32" s="10"/>
      <c r="IN32" s="10"/>
      <c r="IO32" s="10"/>
      <c r="IP32" s="10"/>
      <c r="IQ32" s="10"/>
      <c r="IR32" s="10"/>
      <c r="IS32" s="10"/>
      <c r="IT32" s="10"/>
      <c r="IU32" s="10"/>
      <c r="IV32" s="10"/>
    </row>
    <row r="33" spans="1:256" s="11" customFormat="1" ht="12.75" customHeight="1" x14ac:dyDescent="0.2">
      <c r="A33" s="222" t="str">
        <f>IF(Eingabe!A127="","",Eingabe!A127)</f>
        <v/>
      </c>
      <c r="B33" s="145"/>
      <c r="C33" s="145"/>
      <c r="D33" s="145" t="str">
        <f>IF(Eingabe!B127="","",Eingabe!B127)</f>
        <v/>
      </c>
      <c r="E33" s="145"/>
      <c r="F33" s="145"/>
      <c r="G33" s="145"/>
      <c r="H33" s="137" t="str">
        <f>IF(Eingabe!C127="","",Eingabe!C127)</f>
        <v/>
      </c>
      <c r="I33" s="137"/>
      <c r="J33" s="137"/>
      <c r="K33" s="137"/>
      <c r="L33" s="232" t="str">
        <f>IF(Eingabe!D127="","",Eingabe!D127)</f>
        <v/>
      </c>
      <c r="M33" s="232"/>
      <c r="N33" s="232"/>
      <c r="O33" s="232"/>
      <c r="P33" s="232"/>
      <c r="Q33" s="232"/>
      <c r="R33" s="232"/>
      <c r="S33" s="232"/>
      <c r="T33" s="232"/>
      <c r="U33" s="232"/>
      <c r="V33" s="232"/>
      <c r="W33" s="232"/>
      <c r="X33" s="232"/>
      <c r="Y33" s="232"/>
      <c r="Z33" s="232"/>
      <c r="AA33" s="232"/>
      <c r="AB33" s="232"/>
      <c r="AC33" s="232"/>
      <c r="AD33" s="232"/>
      <c r="AE33" s="232"/>
      <c r="AF33" s="232"/>
      <c r="AG33" s="232"/>
      <c r="AH33" s="251" t="str">
        <f>IF(Eingabe!F127&amp;Eingabe!G127="","",Eingabe!F127&amp;"  /  "&amp;Eingabe!G127)</f>
        <v/>
      </c>
      <c r="AI33" s="251"/>
      <c r="AJ33" s="251"/>
      <c r="AK33" s="251"/>
      <c r="AL33" s="251"/>
      <c r="AM33" s="251"/>
      <c r="AN33" s="251"/>
      <c r="AO33" s="251"/>
      <c r="AP33" s="251"/>
      <c r="AQ33" s="251"/>
      <c r="AR33" s="251"/>
      <c r="AS33" s="251"/>
      <c r="AT33" s="251"/>
      <c r="AU33" s="251"/>
      <c r="AV33" s="251"/>
      <c r="AW33" s="251"/>
      <c r="AX33" s="251"/>
      <c r="AY33" s="251"/>
      <c r="AZ33" s="251"/>
      <c r="BA33" s="251"/>
      <c r="BB33" s="251"/>
      <c r="BC33" s="251"/>
      <c r="BD33" s="251"/>
      <c r="BE33" s="246" t="str">
        <f>IF(Eingabe!I127="","",Eingabe!I127)</f>
        <v/>
      </c>
      <c r="BF33" s="246"/>
      <c r="BG33" s="246"/>
      <c r="BH33" s="246"/>
      <c r="BI33" s="246"/>
      <c r="BJ33" s="246" t="str">
        <f>IF(Eingabe!I127="","",Eingabe!I127*Eingabe!B127)</f>
        <v/>
      </c>
      <c r="BK33" s="246"/>
      <c r="BL33" s="246"/>
      <c r="BM33" s="246"/>
      <c r="BN33" s="247"/>
      <c r="BO33" s="9"/>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c r="DT33" s="10"/>
      <c r="DU33" s="10"/>
      <c r="DV33" s="10"/>
      <c r="DW33" s="10"/>
      <c r="DX33" s="10"/>
      <c r="DY33" s="10"/>
      <c r="DZ33" s="10"/>
      <c r="EA33" s="10"/>
      <c r="EB33" s="10"/>
      <c r="EC33" s="10"/>
      <c r="ED33" s="10"/>
      <c r="EE33" s="10"/>
      <c r="EF33" s="10"/>
      <c r="EG33" s="10"/>
      <c r="EH33" s="10"/>
      <c r="EI33" s="10"/>
      <c r="EJ33" s="10"/>
      <c r="EK33" s="10"/>
      <c r="EL33" s="10"/>
      <c r="EM33" s="10"/>
      <c r="EN33" s="10"/>
      <c r="EO33" s="10"/>
      <c r="EP33" s="10"/>
      <c r="EQ33" s="10"/>
      <c r="ER33" s="10"/>
      <c r="ES33" s="10"/>
      <c r="ET33" s="10"/>
      <c r="EU33" s="10"/>
      <c r="EV33" s="10"/>
      <c r="EW33" s="10"/>
      <c r="EX33" s="10"/>
      <c r="EY33" s="10"/>
      <c r="EZ33" s="10"/>
      <c r="FA33" s="10"/>
      <c r="FB33" s="10"/>
      <c r="FC33" s="10"/>
      <c r="FD33" s="10"/>
      <c r="FE33" s="10"/>
      <c r="FF33" s="10"/>
      <c r="FG33" s="10"/>
      <c r="FH33" s="10"/>
      <c r="FI33" s="10"/>
      <c r="FJ33" s="10"/>
      <c r="FK33" s="10"/>
      <c r="FL33" s="10"/>
      <c r="FM33" s="10"/>
      <c r="FN33" s="10"/>
      <c r="FO33" s="10"/>
      <c r="FP33" s="10"/>
      <c r="FQ33" s="10"/>
      <c r="FR33" s="10"/>
      <c r="FS33" s="10"/>
      <c r="FT33" s="10"/>
      <c r="FU33" s="10"/>
      <c r="FV33" s="10"/>
      <c r="FW33" s="10"/>
      <c r="FX33" s="10"/>
      <c r="FY33" s="10"/>
      <c r="FZ33" s="10"/>
      <c r="GA33" s="10"/>
      <c r="GB33" s="10"/>
      <c r="GC33" s="10"/>
      <c r="GD33" s="10"/>
      <c r="GE33" s="10"/>
      <c r="GF33" s="10"/>
      <c r="GG33" s="10"/>
      <c r="GH33" s="10"/>
      <c r="GI33" s="10"/>
      <c r="GJ33" s="10"/>
      <c r="GK33" s="10"/>
      <c r="GL33" s="10"/>
      <c r="GM33" s="10"/>
      <c r="GN33" s="10"/>
      <c r="GO33" s="10"/>
      <c r="GP33" s="10"/>
      <c r="GQ33" s="10"/>
      <c r="GR33" s="10"/>
      <c r="GS33" s="10"/>
      <c r="GT33" s="10"/>
      <c r="GU33" s="10"/>
      <c r="GV33" s="10"/>
      <c r="GW33" s="10"/>
      <c r="GX33" s="10"/>
      <c r="GY33" s="10"/>
      <c r="GZ33" s="10"/>
      <c r="HA33" s="10"/>
      <c r="HB33" s="10"/>
      <c r="HC33" s="10"/>
      <c r="HD33" s="10"/>
      <c r="HE33" s="10"/>
      <c r="HF33" s="10"/>
      <c r="HG33" s="10"/>
      <c r="HH33" s="10"/>
      <c r="HI33" s="10"/>
      <c r="HJ33" s="10"/>
      <c r="HK33" s="10"/>
      <c r="HL33" s="10"/>
      <c r="HM33" s="10"/>
      <c r="HN33" s="10"/>
      <c r="HO33" s="10"/>
      <c r="HP33" s="10"/>
      <c r="HQ33" s="10"/>
      <c r="HR33" s="10"/>
      <c r="HS33" s="10"/>
      <c r="HT33" s="10"/>
      <c r="HU33" s="10"/>
      <c r="HV33" s="10"/>
      <c r="HW33" s="10"/>
      <c r="HX33" s="10"/>
      <c r="HY33" s="10"/>
      <c r="HZ33" s="10"/>
      <c r="IA33" s="10"/>
      <c r="IB33" s="10"/>
      <c r="IC33" s="10"/>
      <c r="ID33" s="10"/>
      <c r="IE33" s="10"/>
      <c r="IF33" s="10"/>
      <c r="IG33" s="10"/>
      <c r="IH33" s="10"/>
      <c r="II33" s="10"/>
      <c r="IJ33" s="10"/>
      <c r="IK33" s="10"/>
      <c r="IL33" s="10"/>
      <c r="IM33" s="10"/>
      <c r="IN33" s="10"/>
      <c r="IO33" s="10"/>
      <c r="IP33" s="10"/>
      <c r="IQ33" s="10"/>
      <c r="IR33" s="10"/>
      <c r="IS33" s="10"/>
      <c r="IT33" s="10"/>
      <c r="IU33" s="10"/>
      <c r="IV33" s="10"/>
    </row>
    <row r="34" spans="1:256" s="11" customFormat="1" ht="12.75" customHeight="1" x14ac:dyDescent="0.2">
      <c r="A34" s="222" t="str">
        <f>IF(Eingabe!A128="","",Eingabe!A128)</f>
        <v/>
      </c>
      <c r="B34" s="145"/>
      <c r="C34" s="145"/>
      <c r="D34" s="145" t="str">
        <f>IF(Eingabe!B128="","",Eingabe!B128)</f>
        <v/>
      </c>
      <c r="E34" s="145"/>
      <c r="F34" s="145"/>
      <c r="G34" s="145"/>
      <c r="H34" s="137" t="str">
        <f>IF(Eingabe!C128="","",Eingabe!C128)</f>
        <v/>
      </c>
      <c r="I34" s="137"/>
      <c r="J34" s="137"/>
      <c r="K34" s="137"/>
      <c r="L34" s="232" t="str">
        <f>IF(Eingabe!D128="","",Eingabe!D128)</f>
        <v/>
      </c>
      <c r="M34" s="232"/>
      <c r="N34" s="232"/>
      <c r="O34" s="232"/>
      <c r="P34" s="232"/>
      <c r="Q34" s="232"/>
      <c r="R34" s="232"/>
      <c r="S34" s="232"/>
      <c r="T34" s="232"/>
      <c r="U34" s="232"/>
      <c r="V34" s="232"/>
      <c r="W34" s="232"/>
      <c r="X34" s="232"/>
      <c r="Y34" s="232"/>
      <c r="Z34" s="232"/>
      <c r="AA34" s="232"/>
      <c r="AB34" s="232"/>
      <c r="AC34" s="232"/>
      <c r="AD34" s="232"/>
      <c r="AE34" s="232"/>
      <c r="AF34" s="232"/>
      <c r="AG34" s="232"/>
      <c r="AH34" s="251" t="str">
        <f>IF(Eingabe!F128&amp;Eingabe!G128="","",Eingabe!F128&amp;"  /  "&amp;Eingabe!G128)</f>
        <v/>
      </c>
      <c r="AI34" s="251"/>
      <c r="AJ34" s="251"/>
      <c r="AK34" s="251"/>
      <c r="AL34" s="251"/>
      <c r="AM34" s="251"/>
      <c r="AN34" s="251"/>
      <c r="AO34" s="251"/>
      <c r="AP34" s="251"/>
      <c r="AQ34" s="251"/>
      <c r="AR34" s="251"/>
      <c r="AS34" s="251"/>
      <c r="AT34" s="251"/>
      <c r="AU34" s="251"/>
      <c r="AV34" s="251"/>
      <c r="AW34" s="251"/>
      <c r="AX34" s="251"/>
      <c r="AY34" s="251"/>
      <c r="AZ34" s="251"/>
      <c r="BA34" s="251"/>
      <c r="BB34" s="251"/>
      <c r="BC34" s="251"/>
      <c r="BD34" s="251"/>
      <c r="BE34" s="246" t="str">
        <f>IF(Eingabe!I128="","",Eingabe!I128)</f>
        <v/>
      </c>
      <c r="BF34" s="246"/>
      <c r="BG34" s="246"/>
      <c r="BH34" s="246"/>
      <c r="BI34" s="246"/>
      <c r="BJ34" s="246" t="str">
        <f>IF(Eingabe!I128="","",Eingabe!I128*Eingabe!B128)</f>
        <v/>
      </c>
      <c r="BK34" s="246"/>
      <c r="BL34" s="246"/>
      <c r="BM34" s="246"/>
      <c r="BN34" s="247"/>
      <c r="BO34" s="9"/>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row>
    <row r="35" spans="1:256" s="11" customFormat="1" ht="12.75" customHeight="1" x14ac:dyDescent="0.2">
      <c r="A35" s="222" t="str">
        <f>IF(Eingabe!A129="","",Eingabe!A129)</f>
        <v/>
      </c>
      <c r="B35" s="145"/>
      <c r="C35" s="145"/>
      <c r="D35" s="145" t="str">
        <f>IF(Eingabe!B129="","",Eingabe!B129)</f>
        <v/>
      </c>
      <c r="E35" s="145"/>
      <c r="F35" s="145"/>
      <c r="G35" s="145"/>
      <c r="H35" s="137" t="str">
        <f>IF(Eingabe!C129="","",Eingabe!C129)</f>
        <v/>
      </c>
      <c r="I35" s="137"/>
      <c r="J35" s="137"/>
      <c r="K35" s="137"/>
      <c r="L35" s="232" t="str">
        <f>IF(Eingabe!D129="","",Eingabe!D129)</f>
        <v/>
      </c>
      <c r="M35" s="232"/>
      <c r="N35" s="232"/>
      <c r="O35" s="232"/>
      <c r="P35" s="232"/>
      <c r="Q35" s="232"/>
      <c r="R35" s="232"/>
      <c r="S35" s="232"/>
      <c r="T35" s="232"/>
      <c r="U35" s="232"/>
      <c r="V35" s="232"/>
      <c r="W35" s="232"/>
      <c r="X35" s="232"/>
      <c r="Y35" s="232"/>
      <c r="Z35" s="232"/>
      <c r="AA35" s="232"/>
      <c r="AB35" s="232"/>
      <c r="AC35" s="232"/>
      <c r="AD35" s="232"/>
      <c r="AE35" s="232"/>
      <c r="AF35" s="232"/>
      <c r="AG35" s="232"/>
      <c r="AH35" s="251" t="str">
        <f>IF(Eingabe!F129&amp;Eingabe!G129="","",Eingabe!F129&amp;"  /  "&amp;Eingabe!G129)</f>
        <v/>
      </c>
      <c r="AI35" s="251"/>
      <c r="AJ35" s="251"/>
      <c r="AK35" s="251"/>
      <c r="AL35" s="251"/>
      <c r="AM35" s="251"/>
      <c r="AN35" s="251"/>
      <c r="AO35" s="251"/>
      <c r="AP35" s="251"/>
      <c r="AQ35" s="251"/>
      <c r="AR35" s="251"/>
      <c r="AS35" s="251"/>
      <c r="AT35" s="251"/>
      <c r="AU35" s="251"/>
      <c r="AV35" s="251"/>
      <c r="AW35" s="251"/>
      <c r="AX35" s="251"/>
      <c r="AY35" s="251"/>
      <c r="AZ35" s="251"/>
      <c r="BA35" s="251"/>
      <c r="BB35" s="251"/>
      <c r="BC35" s="251"/>
      <c r="BD35" s="251"/>
      <c r="BE35" s="246" t="str">
        <f>IF(Eingabe!I129="","",Eingabe!I129)</f>
        <v/>
      </c>
      <c r="BF35" s="246"/>
      <c r="BG35" s="246"/>
      <c r="BH35" s="246"/>
      <c r="BI35" s="246"/>
      <c r="BJ35" s="246" t="str">
        <f>IF(Eingabe!I129="","",Eingabe!I129*Eingabe!B129)</f>
        <v/>
      </c>
      <c r="BK35" s="246"/>
      <c r="BL35" s="246"/>
      <c r="BM35" s="246"/>
      <c r="BN35" s="247"/>
      <c r="BO35" s="9"/>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c r="DT35" s="10"/>
      <c r="DU35" s="10"/>
      <c r="DV35" s="10"/>
      <c r="DW35" s="10"/>
      <c r="DX35" s="10"/>
      <c r="DY35" s="10"/>
      <c r="DZ35" s="10"/>
      <c r="EA35" s="10"/>
      <c r="EB35" s="10"/>
      <c r="EC35" s="10"/>
      <c r="ED35" s="10"/>
      <c r="EE35" s="10"/>
      <c r="EF35" s="10"/>
      <c r="EG35" s="10"/>
      <c r="EH35" s="10"/>
      <c r="EI35" s="10"/>
      <c r="EJ35" s="10"/>
      <c r="EK35" s="10"/>
      <c r="EL35" s="10"/>
      <c r="EM35" s="10"/>
      <c r="EN35" s="10"/>
      <c r="EO35" s="10"/>
      <c r="EP35" s="10"/>
      <c r="EQ35" s="10"/>
      <c r="ER35" s="10"/>
      <c r="ES35" s="10"/>
      <c r="ET35" s="10"/>
      <c r="EU35" s="10"/>
      <c r="EV35" s="10"/>
      <c r="EW35" s="10"/>
      <c r="EX35" s="10"/>
      <c r="EY35" s="10"/>
      <c r="EZ35" s="10"/>
      <c r="FA35" s="10"/>
      <c r="FB35" s="10"/>
      <c r="FC35" s="10"/>
      <c r="FD35" s="10"/>
      <c r="FE35" s="10"/>
      <c r="FF35" s="10"/>
      <c r="FG35" s="10"/>
      <c r="FH35" s="10"/>
      <c r="FI35" s="10"/>
      <c r="FJ35" s="10"/>
      <c r="FK35" s="10"/>
      <c r="FL35" s="10"/>
      <c r="FM35" s="10"/>
      <c r="FN35" s="10"/>
      <c r="FO35" s="10"/>
      <c r="FP35" s="10"/>
      <c r="FQ35" s="10"/>
      <c r="FR35" s="10"/>
      <c r="FS35" s="10"/>
      <c r="FT35" s="10"/>
      <c r="FU35" s="10"/>
      <c r="FV35" s="10"/>
      <c r="FW35" s="10"/>
      <c r="FX35" s="10"/>
      <c r="FY35" s="10"/>
      <c r="FZ35" s="10"/>
      <c r="GA35" s="10"/>
      <c r="GB35" s="10"/>
      <c r="GC35" s="10"/>
      <c r="GD35" s="10"/>
      <c r="GE35" s="10"/>
      <c r="GF35" s="10"/>
      <c r="GG35" s="10"/>
      <c r="GH35" s="10"/>
      <c r="GI35" s="10"/>
      <c r="GJ35" s="10"/>
      <c r="GK35" s="10"/>
      <c r="GL35" s="10"/>
      <c r="GM35" s="10"/>
      <c r="GN35" s="10"/>
      <c r="GO35" s="10"/>
      <c r="GP35" s="10"/>
      <c r="GQ35" s="10"/>
      <c r="GR35" s="10"/>
      <c r="GS35" s="10"/>
      <c r="GT35" s="10"/>
      <c r="GU35" s="10"/>
      <c r="GV35" s="10"/>
      <c r="GW35" s="10"/>
      <c r="GX35" s="10"/>
      <c r="GY35" s="10"/>
      <c r="GZ35" s="10"/>
      <c r="HA35" s="10"/>
      <c r="HB35" s="10"/>
      <c r="HC35" s="10"/>
      <c r="HD35" s="10"/>
      <c r="HE35" s="10"/>
      <c r="HF35" s="10"/>
      <c r="HG35" s="10"/>
      <c r="HH35" s="10"/>
      <c r="HI35" s="10"/>
      <c r="HJ35" s="10"/>
      <c r="HK35" s="10"/>
      <c r="HL35" s="10"/>
      <c r="HM35" s="10"/>
      <c r="HN35" s="10"/>
      <c r="HO35" s="10"/>
      <c r="HP35" s="10"/>
      <c r="HQ35" s="10"/>
      <c r="HR35" s="10"/>
      <c r="HS35" s="10"/>
      <c r="HT35" s="10"/>
      <c r="HU35" s="10"/>
      <c r="HV35" s="10"/>
      <c r="HW35" s="10"/>
      <c r="HX35" s="10"/>
      <c r="HY35" s="10"/>
      <c r="HZ35" s="10"/>
      <c r="IA35" s="10"/>
      <c r="IB35" s="10"/>
      <c r="IC35" s="10"/>
      <c r="ID35" s="10"/>
      <c r="IE35" s="10"/>
      <c r="IF35" s="10"/>
      <c r="IG35" s="10"/>
      <c r="IH35" s="10"/>
      <c r="II35" s="10"/>
      <c r="IJ35" s="10"/>
      <c r="IK35" s="10"/>
      <c r="IL35" s="10"/>
      <c r="IM35" s="10"/>
      <c r="IN35" s="10"/>
      <c r="IO35" s="10"/>
      <c r="IP35" s="10"/>
      <c r="IQ35" s="10"/>
      <c r="IR35" s="10"/>
      <c r="IS35" s="10"/>
      <c r="IT35" s="10"/>
      <c r="IU35" s="10"/>
      <c r="IV35" s="10"/>
    </row>
    <row r="36" spans="1:256" s="11" customFormat="1" ht="12.75" customHeight="1" x14ac:dyDescent="0.2">
      <c r="A36" s="222" t="str">
        <f>IF(Eingabe!A130="","",Eingabe!A130)</f>
        <v/>
      </c>
      <c r="B36" s="145"/>
      <c r="C36" s="145"/>
      <c r="D36" s="145" t="str">
        <f>IF(Eingabe!B130="","",Eingabe!B130)</f>
        <v/>
      </c>
      <c r="E36" s="145"/>
      <c r="F36" s="145"/>
      <c r="G36" s="145"/>
      <c r="H36" s="137" t="str">
        <f>IF(Eingabe!C130="","",Eingabe!C130)</f>
        <v/>
      </c>
      <c r="I36" s="137"/>
      <c r="J36" s="137"/>
      <c r="K36" s="137"/>
      <c r="L36" s="232" t="str">
        <f>IF(Eingabe!D130="","",Eingabe!D130)</f>
        <v/>
      </c>
      <c r="M36" s="232"/>
      <c r="N36" s="232"/>
      <c r="O36" s="232"/>
      <c r="P36" s="232"/>
      <c r="Q36" s="232"/>
      <c r="R36" s="232"/>
      <c r="S36" s="232"/>
      <c r="T36" s="232"/>
      <c r="U36" s="232"/>
      <c r="V36" s="232"/>
      <c r="W36" s="232"/>
      <c r="X36" s="232"/>
      <c r="Y36" s="232"/>
      <c r="Z36" s="232"/>
      <c r="AA36" s="232"/>
      <c r="AB36" s="232"/>
      <c r="AC36" s="232"/>
      <c r="AD36" s="232"/>
      <c r="AE36" s="232"/>
      <c r="AF36" s="232"/>
      <c r="AG36" s="232"/>
      <c r="AH36" s="251" t="str">
        <f>IF(Eingabe!F130&amp;Eingabe!G130="","",Eingabe!F130&amp;"  /  "&amp;Eingabe!G130)</f>
        <v/>
      </c>
      <c r="AI36" s="251"/>
      <c r="AJ36" s="251"/>
      <c r="AK36" s="251"/>
      <c r="AL36" s="251"/>
      <c r="AM36" s="251"/>
      <c r="AN36" s="251"/>
      <c r="AO36" s="251"/>
      <c r="AP36" s="251"/>
      <c r="AQ36" s="251"/>
      <c r="AR36" s="251"/>
      <c r="AS36" s="251"/>
      <c r="AT36" s="251"/>
      <c r="AU36" s="251"/>
      <c r="AV36" s="251"/>
      <c r="AW36" s="251"/>
      <c r="AX36" s="251"/>
      <c r="AY36" s="251"/>
      <c r="AZ36" s="251"/>
      <c r="BA36" s="251"/>
      <c r="BB36" s="251"/>
      <c r="BC36" s="251"/>
      <c r="BD36" s="251"/>
      <c r="BE36" s="246" t="str">
        <f>IF(Eingabe!I130="","",Eingabe!I130)</f>
        <v/>
      </c>
      <c r="BF36" s="246"/>
      <c r="BG36" s="246"/>
      <c r="BH36" s="246"/>
      <c r="BI36" s="246"/>
      <c r="BJ36" s="246" t="str">
        <f>IF(Eingabe!I130="","",Eingabe!I130*Eingabe!B130)</f>
        <v/>
      </c>
      <c r="BK36" s="246"/>
      <c r="BL36" s="246"/>
      <c r="BM36" s="246"/>
      <c r="BN36" s="247"/>
      <c r="BO36" s="9"/>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c r="DT36" s="10"/>
      <c r="DU36" s="10"/>
      <c r="DV36" s="10"/>
      <c r="DW36" s="10"/>
      <c r="DX36" s="10"/>
      <c r="DY36" s="10"/>
      <c r="DZ36" s="10"/>
      <c r="EA36" s="10"/>
      <c r="EB36" s="10"/>
      <c r="EC36" s="10"/>
      <c r="ED36" s="10"/>
      <c r="EE36" s="10"/>
      <c r="EF36" s="10"/>
      <c r="EG36" s="10"/>
      <c r="EH36" s="10"/>
      <c r="EI36" s="10"/>
      <c r="EJ36" s="10"/>
      <c r="EK36" s="10"/>
      <c r="EL36" s="10"/>
      <c r="EM36" s="10"/>
      <c r="EN36" s="10"/>
      <c r="EO36" s="10"/>
      <c r="EP36" s="10"/>
      <c r="EQ36" s="10"/>
      <c r="ER36" s="10"/>
      <c r="ES36" s="10"/>
      <c r="ET36" s="10"/>
      <c r="EU36" s="10"/>
      <c r="EV36" s="10"/>
      <c r="EW36" s="10"/>
      <c r="EX36" s="10"/>
      <c r="EY36" s="10"/>
      <c r="EZ36" s="10"/>
      <c r="FA36" s="10"/>
      <c r="FB36" s="10"/>
      <c r="FC36" s="10"/>
      <c r="FD36" s="10"/>
      <c r="FE36" s="10"/>
      <c r="FF36" s="10"/>
      <c r="FG36" s="10"/>
      <c r="FH36" s="10"/>
      <c r="FI36" s="10"/>
      <c r="FJ36" s="10"/>
      <c r="FK36" s="10"/>
      <c r="FL36" s="10"/>
      <c r="FM36" s="10"/>
      <c r="FN36" s="10"/>
      <c r="FO36" s="10"/>
      <c r="FP36" s="10"/>
      <c r="FQ36" s="10"/>
      <c r="FR36" s="10"/>
      <c r="FS36" s="10"/>
      <c r="FT36" s="10"/>
      <c r="FU36" s="10"/>
      <c r="FV36" s="10"/>
      <c r="FW36" s="10"/>
      <c r="FX36" s="10"/>
      <c r="FY36" s="10"/>
      <c r="FZ36" s="10"/>
      <c r="GA36" s="10"/>
      <c r="GB36" s="10"/>
      <c r="GC36" s="10"/>
      <c r="GD36" s="10"/>
      <c r="GE36" s="10"/>
      <c r="GF36" s="10"/>
      <c r="GG36" s="10"/>
      <c r="GH36" s="10"/>
      <c r="GI36" s="10"/>
      <c r="GJ36" s="10"/>
      <c r="GK36" s="10"/>
      <c r="GL36" s="10"/>
      <c r="GM36" s="10"/>
      <c r="GN36" s="10"/>
      <c r="GO36" s="10"/>
      <c r="GP36" s="10"/>
      <c r="GQ36" s="10"/>
      <c r="GR36" s="10"/>
      <c r="GS36" s="10"/>
      <c r="GT36" s="10"/>
      <c r="GU36" s="10"/>
      <c r="GV36" s="10"/>
      <c r="GW36" s="10"/>
      <c r="GX36" s="10"/>
      <c r="GY36" s="10"/>
      <c r="GZ36" s="10"/>
      <c r="HA36" s="10"/>
      <c r="HB36" s="10"/>
      <c r="HC36" s="10"/>
      <c r="HD36" s="10"/>
      <c r="HE36" s="10"/>
      <c r="HF36" s="10"/>
      <c r="HG36" s="10"/>
      <c r="HH36" s="10"/>
      <c r="HI36" s="10"/>
      <c r="HJ36" s="10"/>
      <c r="HK36" s="10"/>
      <c r="HL36" s="10"/>
      <c r="HM36" s="10"/>
      <c r="HN36" s="10"/>
      <c r="HO36" s="10"/>
      <c r="HP36" s="10"/>
      <c r="HQ36" s="10"/>
      <c r="HR36" s="10"/>
      <c r="HS36" s="10"/>
      <c r="HT36" s="10"/>
      <c r="HU36" s="10"/>
      <c r="HV36" s="10"/>
      <c r="HW36" s="10"/>
      <c r="HX36" s="10"/>
      <c r="HY36" s="10"/>
      <c r="HZ36" s="10"/>
      <c r="IA36" s="10"/>
      <c r="IB36" s="10"/>
      <c r="IC36" s="10"/>
      <c r="ID36" s="10"/>
      <c r="IE36" s="10"/>
      <c r="IF36" s="10"/>
      <c r="IG36" s="10"/>
      <c r="IH36" s="10"/>
      <c r="II36" s="10"/>
      <c r="IJ36" s="10"/>
      <c r="IK36" s="10"/>
      <c r="IL36" s="10"/>
      <c r="IM36" s="10"/>
      <c r="IN36" s="10"/>
      <c r="IO36" s="10"/>
      <c r="IP36" s="10"/>
      <c r="IQ36" s="10"/>
      <c r="IR36" s="10"/>
      <c r="IS36" s="10"/>
      <c r="IT36" s="10"/>
      <c r="IU36" s="10"/>
      <c r="IV36" s="10"/>
    </row>
    <row r="37" spans="1:256" s="11" customFormat="1" ht="12.75" customHeight="1" x14ac:dyDescent="0.2">
      <c r="A37" s="222" t="str">
        <f>IF(Eingabe!A131="","",Eingabe!A131)</f>
        <v/>
      </c>
      <c r="B37" s="145"/>
      <c r="C37" s="145"/>
      <c r="D37" s="145" t="str">
        <f>IF(Eingabe!B131="","",Eingabe!B131)</f>
        <v/>
      </c>
      <c r="E37" s="145"/>
      <c r="F37" s="145"/>
      <c r="G37" s="145"/>
      <c r="H37" s="137" t="str">
        <f>IF(Eingabe!C131="","",Eingabe!C131)</f>
        <v/>
      </c>
      <c r="I37" s="137"/>
      <c r="J37" s="137"/>
      <c r="K37" s="137"/>
      <c r="L37" s="232" t="str">
        <f>IF(Eingabe!D131="","",Eingabe!D131)</f>
        <v/>
      </c>
      <c r="M37" s="232"/>
      <c r="N37" s="232"/>
      <c r="O37" s="232"/>
      <c r="P37" s="232"/>
      <c r="Q37" s="232"/>
      <c r="R37" s="232"/>
      <c r="S37" s="232"/>
      <c r="T37" s="232"/>
      <c r="U37" s="232"/>
      <c r="V37" s="232"/>
      <c r="W37" s="232"/>
      <c r="X37" s="232"/>
      <c r="Y37" s="232"/>
      <c r="Z37" s="232"/>
      <c r="AA37" s="232"/>
      <c r="AB37" s="232"/>
      <c r="AC37" s="232"/>
      <c r="AD37" s="232"/>
      <c r="AE37" s="232"/>
      <c r="AF37" s="232"/>
      <c r="AG37" s="232"/>
      <c r="AH37" s="251" t="str">
        <f>IF(Eingabe!F131&amp;Eingabe!G131="","",Eingabe!F131&amp;"  /  "&amp;Eingabe!G131)</f>
        <v/>
      </c>
      <c r="AI37" s="251"/>
      <c r="AJ37" s="251"/>
      <c r="AK37" s="251"/>
      <c r="AL37" s="251"/>
      <c r="AM37" s="251"/>
      <c r="AN37" s="251"/>
      <c r="AO37" s="251"/>
      <c r="AP37" s="251"/>
      <c r="AQ37" s="251"/>
      <c r="AR37" s="251"/>
      <c r="AS37" s="251"/>
      <c r="AT37" s="251"/>
      <c r="AU37" s="251"/>
      <c r="AV37" s="251"/>
      <c r="AW37" s="251"/>
      <c r="AX37" s="251"/>
      <c r="AY37" s="251"/>
      <c r="AZ37" s="251"/>
      <c r="BA37" s="251"/>
      <c r="BB37" s="251"/>
      <c r="BC37" s="251"/>
      <c r="BD37" s="251"/>
      <c r="BE37" s="246" t="str">
        <f>IF(Eingabe!I131="","",Eingabe!I131)</f>
        <v/>
      </c>
      <c r="BF37" s="246"/>
      <c r="BG37" s="246"/>
      <c r="BH37" s="246"/>
      <c r="BI37" s="246"/>
      <c r="BJ37" s="246" t="str">
        <f>IF(Eingabe!I131="","",Eingabe!I131*Eingabe!B131)</f>
        <v/>
      </c>
      <c r="BK37" s="246"/>
      <c r="BL37" s="246"/>
      <c r="BM37" s="246"/>
      <c r="BN37" s="247"/>
      <c r="BO37" s="9"/>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c r="DT37" s="10"/>
      <c r="DU37" s="10"/>
      <c r="DV37" s="10"/>
      <c r="DW37" s="10"/>
      <c r="DX37" s="10"/>
      <c r="DY37" s="10"/>
      <c r="DZ37" s="10"/>
      <c r="EA37" s="10"/>
      <c r="EB37" s="10"/>
      <c r="EC37" s="10"/>
      <c r="ED37" s="10"/>
      <c r="EE37" s="10"/>
      <c r="EF37" s="10"/>
      <c r="EG37" s="10"/>
      <c r="EH37" s="10"/>
      <c r="EI37" s="10"/>
      <c r="EJ37" s="10"/>
      <c r="EK37" s="10"/>
      <c r="EL37" s="10"/>
      <c r="EM37" s="10"/>
      <c r="EN37" s="10"/>
      <c r="EO37" s="10"/>
      <c r="EP37" s="10"/>
      <c r="EQ37" s="10"/>
      <c r="ER37" s="10"/>
      <c r="ES37" s="10"/>
      <c r="ET37" s="10"/>
      <c r="EU37" s="10"/>
      <c r="EV37" s="10"/>
      <c r="EW37" s="10"/>
      <c r="EX37" s="10"/>
      <c r="EY37" s="10"/>
      <c r="EZ37" s="10"/>
      <c r="FA37" s="10"/>
      <c r="FB37" s="10"/>
      <c r="FC37" s="10"/>
      <c r="FD37" s="10"/>
      <c r="FE37" s="10"/>
      <c r="FF37" s="10"/>
      <c r="FG37" s="10"/>
      <c r="FH37" s="10"/>
      <c r="FI37" s="10"/>
      <c r="FJ37" s="10"/>
      <c r="FK37" s="10"/>
      <c r="FL37" s="10"/>
      <c r="FM37" s="10"/>
      <c r="FN37" s="10"/>
      <c r="FO37" s="10"/>
      <c r="FP37" s="10"/>
      <c r="FQ37" s="10"/>
      <c r="FR37" s="10"/>
      <c r="FS37" s="10"/>
      <c r="FT37" s="10"/>
      <c r="FU37" s="10"/>
      <c r="FV37" s="10"/>
      <c r="FW37" s="10"/>
      <c r="FX37" s="10"/>
      <c r="FY37" s="10"/>
      <c r="FZ37" s="10"/>
      <c r="GA37" s="10"/>
      <c r="GB37" s="10"/>
      <c r="GC37" s="10"/>
      <c r="GD37" s="10"/>
      <c r="GE37" s="10"/>
      <c r="GF37" s="10"/>
      <c r="GG37" s="10"/>
      <c r="GH37" s="10"/>
      <c r="GI37" s="10"/>
      <c r="GJ37" s="10"/>
      <c r="GK37" s="10"/>
      <c r="GL37" s="10"/>
      <c r="GM37" s="10"/>
      <c r="GN37" s="10"/>
      <c r="GO37" s="10"/>
      <c r="GP37" s="10"/>
      <c r="GQ37" s="10"/>
      <c r="GR37" s="10"/>
      <c r="GS37" s="10"/>
      <c r="GT37" s="10"/>
      <c r="GU37" s="10"/>
      <c r="GV37" s="10"/>
      <c r="GW37" s="10"/>
      <c r="GX37" s="10"/>
      <c r="GY37" s="10"/>
      <c r="GZ37" s="10"/>
      <c r="HA37" s="10"/>
      <c r="HB37" s="10"/>
      <c r="HC37" s="10"/>
      <c r="HD37" s="10"/>
      <c r="HE37" s="10"/>
      <c r="HF37" s="10"/>
      <c r="HG37" s="10"/>
      <c r="HH37" s="10"/>
      <c r="HI37" s="10"/>
      <c r="HJ37" s="10"/>
      <c r="HK37" s="10"/>
      <c r="HL37" s="10"/>
      <c r="HM37" s="10"/>
      <c r="HN37" s="10"/>
      <c r="HO37" s="10"/>
      <c r="HP37" s="10"/>
      <c r="HQ37" s="10"/>
      <c r="HR37" s="10"/>
      <c r="HS37" s="10"/>
      <c r="HT37" s="10"/>
      <c r="HU37" s="10"/>
      <c r="HV37" s="10"/>
      <c r="HW37" s="10"/>
      <c r="HX37" s="10"/>
      <c r="HY37" s="10"/>
      <c r="HZ37" s="10"/>
      <c r="IA37" s="10"/>
      <c r="IB37" s="10"/>
      <c r="IC37" s="10"/>
      <c r="ID37" s="10"/>
      <c r="IE37" s="10"/>
      <c r="IF37" s="10"/>
      <c r="IG37" s="10"/>
      <c r="IH37" s="10"/>
      <c r="II37" s="10"/>
      <c r="IJ37" s="10"/>
      <c r="IK37" s="10"/>
      <c r="IL37" s="10"/>
      <c r="IM37" s="10"/>
      <c r="IN37" s="10"/>
      <c r="IO37" s="10"/>
      <c r="IP37" s="10"/>
      <c r="IQ37" s="10"/>
      <c r="IR37" s="10"/>
      <c r="IS37" s="10"/>
      <c r="IT37" s="10"/>
      <c r="IU37" s="10"/>
      <c r="IV37" s="10"/>
    </row>
    <row r="38" spans="1:256" s="11" customFormat="1" ht="12.75" customHeight="1" x14ac:dyDescent="0.2">
      <c r="A38" s="222" t="str">
        <f>IF(Eingabe!A132="","",Eingabe!A132)</f>
        <v/>
      </c>
      <c r="B38" s="145"/>
      <c r="C38" s="145"/>
      <c r="D38" s="145" t="str">
        <f>IF(Eingabe!B132="","",Eingabe!B132)</f>
        <v/>
      </c>
      <c r="E38" s="145"/>
      <c r="F38" s="145"/>
      <c r="G38" s="145"/>
      <c r="H38" s="137" t="str">
        <f>IF(Eingabe!C132="","",Eingabe!C132)</f>
        <v/>
      </c>
      <c r="I38" s="137"/>
      <c r="J38" s="137"/>
      <c r="K38" s="137"/>
      <c r="L38" s="232" t="str">
        <f>IF(Eingabe!D132="","",Eingabe!D132)</f>
        <v/>
      </c>
      <c r="M38" s="232"/>
      <c r="N38" s="232"/>
      <c r="O38" s="232"/>
      <c r="P38" s="232"/>
      <c r="Q38" s="232"/>
      <c r="R38" s="232"/>
      <c r="S38" s="232"/>
      <c r="T38" s="232"/>
      <c r="U38" s="232"/>
      <c r="V38" s="232"/>
      <c r="W38" s="232"/>
      <c r="X38" s="232"/>
      <c r="Y38" s="232"/>
      <c r="Z38" s="232"/>
      <c r="AA38" s="232"/>
      <c r="AB38" s="232"/>
      <c r="AC38" s="232"/>
      <c r="AD38" s="232"/>
      <c r="AE38" s="232"/>
      <c r="AF38" s="232"/>
      <c r="AG38" s="232"/>
      <c r="AH38" s="251" t="str">
        <f>IF(Eingabe!F132&amp;Eingabe!G132="","",Eingabe!F132&amp;"  /  "&amp;Eingabe!G132)</f>
        <v/>
      </c>
      <c r="AI38" s="251"/>
      <c r="AJ38" s="251"/>
      <c r="AK38" s="251"/>
      <c r="AL38" s="251"/>
      <c r="AM38" s="251"/>
      <c r="AN38" s="251"/>
      <c r="AO38" s="251"/>
      <c r="AP38" s="251"/>
      <c r="AQ38" s="251"/>
      <c r="AR38" s="251"/>
      <c r="AS38" s="251"/>
      <c r="AT38" s="251"/>
      <c r="AU38" s="251"/>
      <c r="AV38" s="251"/>
      <c r="AW38" s="251"/>
      <c r="AX38" s="251"/>
      <c r="AY38" s="251"/>
      <c r="AZ38" s="251"/>
      <c r="BA38" s="251"/>
      <c r="BB38" s="251"/>
      <c r="BC38" s="251"/>
      <c r="BD38" s="251"/>
      <c r="BE38" s="246" t="str">
        <f>IF(Eingabe!I132="","",Eingabe!I132)</f>
        <v/>
      </c>
      <c r="BF38" s="246"/>
      <c r="BG38" s="246"/>
      <c r="BH38" s="246"/>
      <c r="BI38" s="246"/>
      <c r="BJ38" s="246" t="str">
        <f>IF(Eingabe!I132="","",Eingabe!I132*Eingabe!B132)</f>
        <v/>
      </c>
      <c r="BK38" s="246"/>
      <c r="BL38" s="246"/>
      <c r="BM38" s="246"/>
      <c r="BN38" s="247"/>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c r="DT38" s="10"/>
      <c r="DU38" s="10"/>
      <c r="DV38" s="10"/>
      <c r="DW38" s="10"/>
      <c r="DX38" s="10"/>
      <c r="DY38" s="10"/>
      <c r="DZ38" s="10"/>
      <c r="EA38" s="10"/>
      <c r="EB38" s="10"/>
      <c r="EC38" s="10"/>
      <c r="ED38" s="10"/>
      <c r="EE38" s="10"/>
      <c r="EF38" s="10"/>
      <c r="EG38" s="10"/>
      <c r="EH38" s="10"/>
      <c r="EI38" s="10"/>
      <c r="EJ38" s="10"/>
      <c r="EK38" s="10"/>
      <c r="EL38" s="10"/>
      <c r="EM38" s="10"/>
      <c r="EN38" s="10"/>
      <c r="EO38" s="10"/>
      <c r="EP38" s="10"/>
      <c r="EQ38" s="10"/>
      <c r="ER38" s="10"/>
      <c r="ES38" s="10"/>
      <c r="ET38" s="10"/>
      <c r="EU38" s="10"/>
      <c r="EV38" s="10"/>
      <c r="EW38" s="10"/>
      <c r="EX38" s="10"/>
      <c r="EY38" s="10"/>
      <c r="EZ38" s="10"/>
      <c r="FA38" s="10"/>
      <c r="FB38" s="10"/>
      <c r="FC38" s="10"/>
      <c r="FD38" s="10"/>
      <c r="FE38" s="10"/>
      <c r="FF38" s="10"/>
      <c r="FG38" s="10"/>
      <c r="FH38" s="10"/>
      <c r="FI38" s="10"/>
      <c r="FJ38" s="10"/>
      <c r="FK38" s="10"/>
      <c r="FL38" s="10"/>
      <c r="FM38" s="10"/>
      <c r="FN38" s="10"/>
      <c r="FO38" s="10"/>
      <c r="FP38" s="10"/>
      <c r="FQ38" s="10"/>
      <c r="FR38" s="10"/>
      <c r="FS38" s="10"/>
      <c r="FT38" s="10"/>
      <c r="FU38" s="10"/>
      <c r="FV38" s="10"/>
      <c r="FW38" s="10"/>
      <c r="FX38" s="10"/>
      <c r="FY38" s="10"/>
      <c r="FZ38" s="10"/>
      <c r="GA38" s="10"/>
      <c r="GB38" s="10"/>
      <c r="GC38" s="10"/>
      <c r="GD38" s="10"/>
      <c r="GE38" s="10"/>
      <c r="GF38" s="10"/>
      <c r="GG38" s="10"/>
      <c r="GH38" s="10"/>
      <c r="GI38" s="10"/>
      <c r="GJ38" s="10"/>
      <c r="GK38" s="10"/>
      <c r="GL38" s="10"/>
      <c r="GM38" s="10"/>
      <c r="GN38" s="10"/>
      <c r="GO38" s="10"/>
      <c r="GP38" s="10"/>
      <c r="GQ38" s="10"/>
      <c r="GR38" s="10"/>
      <c r="GS38" s="10"/>
      <c r="GT38" s="10"/>
      <c r="GU38" s="10"/>
      <c r="GV38" s="10"/>
      <c r="GW38" s="10"/>
      <c r="GX38" s="10"/>
      <c r="GY38" s="10"/>
      <c r="GZ38" s="10"/>
      <c r="HA38" s="10"/>
      <c r="HB38" s="10"/>
      <c r="HC38" s="10"/>
      <c r="HD38" s="10"/>
      <c r="HE38" s="10"/>
      <c r="HF38" s="10"/>
      <c r="HG38" s="10"/>
      <c r="HH38" s="10"/>
      <c r="HI38" s="10"/>
      <c r="HJ38" s="10"/>
      <c r="HK38" s="10"/>
      <c r="HL38" s="10"/>
      <c r="HM38" s="10"/>
      <c r="HN38" s="10"/>
      <c r="HO38" s="10"/>
      <c r="HP38" s="10"/>
      <c r="HQ38" s="10"/>
      <c r="HR38" s="10"/>
      <c r="HS38" s="10"/>
      <c r="HT38" s="10"/>
      <c r="HU38" s="10"/>
      <c r="HV38" s="10"/>
      <c r="HW38" s="10"/>
      <c r="HX38" s="10"/>
      <c r="HY38" s="10"/>
      <c r="HZ38" s="10"/>
      <c r="IA38" s="10"/>
      <c r="IB38" s="10"/>
      <c r="IC38" s="10"/>
      <c r="ID38" s="10"/>
      <c r="IE38" s="10"/>
      <c r="IF38" s="10"/>
      <c r="IG38" s="10"/>
      <c r="IH38" s="10"/>
      <c r="II38" s="10"/>
      <c r="IJ38" s="10"/>
      <c r="IK38" s="10"/>
      <c r="IL38" s="10"/>
      <c r="IM38" s="10"/>
      <c r="IN38" s="10"/>
      <c r="IO38" s="10"/>
      <c r="IP38" s="10"/>
      <c r="IQ38" s="10"/>
      <c r="IR38" s="10"/>
      <c r="IS38" s="10"/>
      <c r="IT38" s="10"/>
      <c r="IU38" s="10"/>
      <c r="IV38" s="10"/>
    </row>
    <row r="39" spans="1:256" s="11" customFormat="1" ht="12.75" customHeight="1" x14ac:dyDescent="0.2">
      <c r="A39" s="222" t="str">
        <f>IF(Eingabe!A133="","",Eingabe!A133)</f>
        <v/>
      </c>
      <c r="B39" s="145"/>
      <c r="C39" s="145"/>
      <c r="D39" s="145" t="str">
        <f>IF(Eingabe!B133="","",Eingabe!B133)</f>
        <v/>
      </c>
      <c r="E39" s="145"/>
      <c r="F39" s="145"/>
      <c r="G39" s="145"/>
      <c r="H39" s="137" t="str">
        <f>IF(Eingabe!C133="","",Eingabe!C133)</f>
        <v/>
      </c>
      <c r="I39" s="137"/>
      <c r="J39" s="137"/>
      <c r="K39" s="137"/>
      <c r="L39" s="232" t="str">
        <f>IF(Eingabe!D133="","",Eingabe!D133)</f>
        <v/>
      </c>
      <c r="M39" s="232"/>
      <c r="N39" s="232"/>
      <c r="O39" s="232"/>
      <c r="P39" s="232"/>
      <c r="Q39" s="232"/>
      <c r="R39" s="232"/>
      <c r="S39" s="232"/>
      <c r="T39" s="232"/>
      <c r="U39" s="232"/>
      <c r="V39" s="232"/>
      <c r="W39" s="232"/>
      <c r="X39" s="232"/>
      <c r="Y39" s="232"/>
      <c r="Z39" s="232"/>
      <c r="AA39" s="232"/>
      <c r="AB39" s="232"/>
      <c r="AC39" s="232"/>
      <c r="AD39" s="232"/>
      <c r="AE39" s="232"/>
      <c r="AF39" s="232"/>
      <c r="AG39" s="232"/>
      <c r="AH39" s="251" t="str">
        <f>IF(Eingabe!F133&amp;Eingabe!G133="","",Eingabe!F133&amp;"  /  "&amp;Eingabe!G133)</f>
        <v/>
      </c>
      <c r="AI39" s="251"/>
      <c r="AJ39" s="251"/>
      <c r="AK39" s="251"/>
      <c r="AL39" s="251"/>
      <c r="AM39" s="251"/>
      <c r="AN39" s="251"/>
      <c r="AO39" s="251"/>
      <c r="AP39" s="251"/>
      <c r="AQ39" s="251"/>
      <c r="AR39" s="251"/>
      <c r="AS39" s="251"/>
      <c r="AT39" s="251"/>
      <c r="AU39" s="251"/>
      <c r="AV39" s="251"/>
      <c r="AW39" s="251"/>
      <c r="AX39" s="251"/>
      <c r="AY39" s="251"/>
      <c r="AZ39" s="251"/>
      <c r="BA39" s="251"/>
      <c r="BB39" s="251"/>
      <c r="BC39" s="251"/>
      <c r="BD39" s="251"/>
      <c r="BE39" s="246" t="str">
        <f>IF(Eingabe!I133="","",Eingabe!I133)</f>
        <v/>
      </c>
      <c r="BF39" s="246"/>
      <c r="BG39" s="246"/>
      <c r="BH39" s="246"/>
      <c r="BI39" s="246"/>
      <c r="BJ39" s="246" t="str">
        <f>IF(Eingabe!I133="","",Eingabe!I133*Eingabe!B133)</f>
        <v/>
      </c>
      <c r="BK39" s="246"/>
      <c r="BL39" s="246"/>
      <c r="BM39" s="246"/>
      <c r="BN39" s="247"/>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c r="DT39" s="10"/>
      <c r="DU39" s="10"/>
      <c r="DV39" s="10"/>
      <c r="DW39" s="10"/>
      <c r="DX39" s="10"/>
      <c r="DY39" s="10"/>
      <c r="DZ39" s="10"/>
      <c r="EA39" s="10"/>
      <c r="EB39" s="10"/>
      <c r="EC39" s="10"/>
      <c r="ED39" s="10"/>
      <c r="EE39" s="10"/>
      <c r="EF39" s="10"/>
      <c r="EG39" s="10"/>
      <c r="EH39" s="10"/>
      <c r="EI39" s="10"/>
      <c r="EJ39" s="10"/>
      <c r="EK39" s="10"/>
      <c r="EL39" s="10"/>
      <c r="EM39" s="10"/>
      <c r="EN39" s="10"/>
      <c r="EO39" s="10"/>
      <c r="EP39" s="10"/>
      <c r="EQ39" s="10"/>
      <c r="ER39" s="10"/>
      <c r="ES39" s="10"/>
      <c r="ET39" s="10"/>
      <c r="EU39" s="10"/>
      <c r="EV39" s="10"/>
      <c r="EW39" s="10"/>
      <c r="EX39" s="10"/>
      <c r="EY39" s="10"/>
      <c r="EZ39" s="10"/>
      <c r="FA39" s="10"/>
      <c r="FB39" s="10"/>
      <c r="FC39" s="10"/>
      <c r="FD39" s="10"/>
      <c r="FE39" s="10"/>
      <c r="FF39" s="10"/>
      <c r="FG39" s="10"/>
      <c r="FH39" s="10"/>
      <c r="FI39" s="10"/>
      <c r="FJ39" s="10"/>
      <c r="FK39" s="10"/>
      <c r="FL39" s="10"/>
      <c r="FM39" s="10"/>
      <c r="FN39" s="10"/>
      <c r="FO39" s="10"/>
      <c r="FP39" s="10"/>
      <c r="FQ39" s="10"/>
      <c r="FR39" s="10"/>
      <c r="FS39" s="10"/>
      <c r="FT39" s="10"/>
      <c r="FU39" s="10"/>
      <c r="FV39" s="10"/>
      <c r="FW39" s="10"/>
      <c r="FX39" s="10"/>
      <c r="FY39" s="10"/>
      <c r="FZ39" s="10"/>
      <c r="GA39" s="10"/>
      <c r="GB39" s="10"/>
      <c r="GC39" s="10"/>
      <c r="GD39" s="10"/>
      <c r="GE39" s="10"/>
      <c r="GF39" s="10"/>
      <c r="GG39" s="10"/>
      <c r="GH39" s="10"/>
      <c r="GI39" s="10"/>
      <c r="GJ39" s="10"/>
      <c r="GK39" s="10"/>
      <c r="GL39" s="10"/>
      <c r="GM39" s="10"/>
      <c r="GN39" s="10"/>
      <c r="GO39" s="10"/>
      <c r="GP39" s="10"/>
      <c r="GQ39" s="10"/>
      <c r="GR39" s="10"/>
      <c r="GS39" s="10"/>
      <c r="GT39" s="10"/>
      <c r="GU39" s="10"/>
      <c r="GV39" s="10"/>
      <c r="GW39" s="10"/>
      <c r="GX39" s="10"/>
      <c r="GY39" s="10"/>
      <c r="GZ39" s="10"/>
      <c r="HA39" s="10"/>
      <c r="HB39" s="10"/>
      <c r="HC39" s="10"/>
      <c r="HD39" s="10"/>
      <c r="HE39" s="10"/>
      <c r="HF39" s="10"/>
      <c r="HG39" s="10"/>
      <c r="HH39" s="10"/>
      <c r="HI39" s="10"/>
      <c r="HJ39" s="10"/>
      <c r="HK39" s="10"/>
      <c r="HL39" s="10"/>
      <c r="HM39" s="10"/>
      <c r="HN39" s="10"/>
      <c r="HO39" s="10"/>
      <c r="HP39" s="10"/>
      <c r="HQ39" s="10"/>
      <c r="HR39" s="10"/>
      <c r="HS39" s="10"/>
      <c r="HT39" s="10"/>
      <c r="HU39" s="10"/>
      <c r="HV39" s="10"/>
      <c r="HW39" s="10"/>
      <c r="HX39" s="10"/>
      <c r="HY39" s="10"/>
      <c r="HZ39" s="10"/>
      <c r="IA39" s="10"/>
      <c r="IB39" s="10"/>
      <c r="IC39" s="10"/>
      <c r="ID39" s="10"/>
      <c r="IE39" s="10"/>
      <c r="IF39" s="10"/>
      <c r="IG39" s="10"/>
      <c r="IH39" s="10"/>
      <c r="II39" s="10"/>
      <c r="IJ39" s="10"/>
      <c r="IK39" s="10"/>
      <c r="IL39" s="10"/>
      <c r="IM39" s="10"/>
      <c r="IN39" s="10"/>
      <c r="IO39" s="10"/>
      <c r="IP39" s="10"/>
      <c r="IQ39" s="10"/>
      <c r="IR39" s="10"/>
      <c r="IS39" s="10"/>
      <c r="IT39" s="10"/>
      <c r="IU39" s="10"/>
      <c r="IV39" s="10"/>
    </row>
    <row r="40" spans="1:256" s="11" customFormat="1" ht="12.75" customHeight="1" x14ac:dyDescent="0.2">
      <c r="A40" s="222" t="str">
        <f>IF(Eingabe!A134="","",Eingabe!A134)</f>
        <v/>
      </c>
      <c r="B40" s="145"/>
      <c r="C40" s="145"/>
      <c r="D40" s="145" t="str">
        <f>IF(Eingabe!B134="","",Eingabe!B134)</f>
        <v/>
      </c>
      <c r="E40" s="145"/>
      <c r="F40" s="145"/>
      <c r="G40" s="145"/>
      <c r="H40" s="137" t="str">
        <f>IF(Eingabe!C134="","",Eingabe!C134)</f>
        <v/>
      </c>
      <c r="I40" s="137"/>
      <c r="J40" s="137"/>
      <c r="K40" s="137"/>
      <c r="L40" s="232" t="str">
        <f>IF(Eingabe!D134="","",Eingabe!D134)</f>
        <v/>
      </c>
      <c r="M40" s="232"/>
      <c r="N40" s="232"/>
      <c r="O40" s="232"/>
      <c r="P40" s="232"/>
      <c r="Q40" s="232"/>
      <c r="R40" s="232"/>
      <c r="S40" s="232"/>
      <c r="T40" s="232"/>
      <c r="U40" s="232"/>
      <c r="V40" s="232"/>
      <c r="W40" s="232"/>
      <c r="X40" s="232"/>
      <c r="Y40" s="232"/>
      <c r="Z40" s="232"/>
      <c r="AA40" s="232"/>
      <c r="AB40" s="232"/>
      <c r="AC40" s="232"/>
      <c r="AD40" s="232"/>
      <c r="AE40" s="232"/>
      <c r="AF40" s="232"/>
      <c r="AG40" s="232"/>
      <c r="AH40" s="251" t="str">
        <f>IF(Eingabe!F134&amp;Eingabe!G134="","",Eingabe!F134&amp;"  /  "&amp;Eingabe!G134)</f>
        <v/>
      </c>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46" t="str">
        <f>IF(Eingabe!I134="","",Eingabe!I134)</f>
        <v/>
      </c>
      <c r="BF40" s="246"/>
      <c r="BG40" s="246"/>
      <c r="BH40" s="246"/>
      <c r="BI40" s="246"/>
      <c r="BJ40" s="246" t="str">
        <f>IF(Eingabe!I134="","",Eingabe!I134*Eingabe!B134)</f>
        <v/>
      </c>
      <c r="BK40" s="246"/>
      <c r="BL40" s="246"/>
      <c r="BM40" s="246"/>
      <c r="BN40" s="247"/>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c r="DT40" s="10"/>
      <c r="DU40" s="10"/>
      <c r="DV40" s="10"/>
      <c r="DW40" s="10"/>
      <c r="DX40" s="10"/>
      <c r="DY40" s="10"/>
      <c r="DZ40" s="10"/>
      <c r="EA40" s="10"/>
      <c r="EB40" s="10"/>
      <c r="EC40" s="10"/>
      <c r="ED40" s="10"/>
      <c r="EE40" s="10"/>
      <c r="EF40" s="10"/>
      <c r="EG40" s="10"/>
      <c r="EH40" s="10"/>
      <c r="EI40" s="10"/>
      <c r="EJ40" s="10"/>
      <c r="EK40" s="10"/>
      <c r="EL40" s="10"/>
      <c r="EM40" s="10"/>
      <c r="EN40" s="10"/>
      <c r="EO40" s="10"/>
      <c r="EP40" s="10"/>
      <c r="EQ40" s="10"/>
      <c r="ER40" s="10"/>
      <c r="ES40" s="10"/>
      <c r="ET40" s="10"/>
      <c r="EU40" s="10"/>
      <c r="EV40" s="10"/>
      <c r="EW40" s="10"/>
      <c r="EX40" s="10"/>
      <c r="EY40" s="10"/>
      <c r="EZ40" s="10"/>
      <c r="FA40" s="10"/>
      <c r="FB40" s="10"/>
      <c r="FC40" s="10"/>
      <c r="FD40" s="10"/>
      <c r="FE40" s="10"/>
      <c r="FF40" s="10"/>
      <c r="FG40" s="10"/>
      <c r="FH40" s="10"/>
      <c r="FI40" s="10"/>
      <c r="FJ40" s="10"/>
      <c r="FK40" s="10"/>
      <c r="FL40" s="10"/>
      <c r="FM40" s="10"/>
      <c r="FN40" s="10"/>
      <c r="FO40" s="10"/>
      <c r="FP40" s="10"/>
      <c r="FQ40" s="10"/>
      <c r="FR40" s="10"/>
      <c r="FS40" s="10"/>
      <c r="FT40" s="10"/>
      <c r="FU40" s="10"/>
      <c r="FV40" s="10"/>
      <c r="FW40" s="10"/>
      <c r="FX40" s="10"/>
      <c r="FY40" s="10"/>
      <c r="FZ40" s="10"/>
      <c r="GA40" s="10"/>
      <c r="GB40" s="10"/>
      <c r="GC40" s="10"/>
      <c r="GD40" s="10"/>
      <c r="GE40" s="10"/>
      <c r="GF40" s="10"/>
      <c r="GG40" s="10"/>
      <c r="GH40" s="10"/>
      <c r="GI40" s="10"/>
      <c r="GJ40" s="10"/>
      <c r="GK40" s="10"/>
      <c r="GL40" s="10"/>
      <c r="GM40" s="10"/>
      <c r="GN40" s="10"/>
      <c r="GO40" s="10"/>
      <c r="GP40" s="10"/>
      <c r="GQ40" s="10"/>
      <c r="GR40" s="10"/>
      <c r="GS40" s="10"/>
      <c r="GT40" s="10"/>
      <c r="GU40" s="10"/>
      <c r="GV40" s="10"/>
      <c r="GW40" s="10"/>
      <c r="GX40" s="10"/>
      <c r="GY40" s="10"/>
      <c r="GZ40" s="10"/>
      <c r="HA40" s="10"/>
      <c r="HB40" s="10"/>
      <c r="HC40" s="10"/>
      <c r="HD40" s="10"/>
      <c r="HE40" s="10"/>
      <c r="HF40" s="10"/>
      <c r="HG40" s="10"/>
      <c r="HH40" s="10"/>
      <c r="HI40" s="10"/>
      <c r="HJ40" s="10"/>
      <c r="HK40" s="10"/>
      <c r="HL40" s="10"/>
      <c r="HM40" s="10"/>
      <c r="HN40" s="10"/>
      <c r="HO40" s="10"/>
      <c r="HP40" s="10"/>
      <c r="HQ40" s="10"/>
      <c r="HR40" s="10"/>
      <c r="HS40" s="10"/>
      <c r="HT40" s="10"/>
      <c r="HU40" s="10"/>
      <c r="HV40" s="10"/>
      <c r="HW40" s="10"/>
      <c r="HX40" s="10"/>
      <c r="HY40" s="10"/>
      <c r="HZ40" s="10"/>
      <c r="IA40" s="10"/>
      <c r="IB40" s="10"/>
      <c r="IC40" s="10"/>
      <c r="ID40" s="10"/>
      <c r="IE40" s="10"/>
      <c r="IF40" s="10"/>
      <c r="IG40" s="10"/>
      <c r="IH40" s="10"/>
      <c r="II40" s="10"/>
      <c r="IJ40" s="10"/>
      <c r="IK40" s="10"/>
      <c r="IL40" s="10"/>
      <c r="IM40" s="10"/>
      <c r="IN40" s="10"/>
      <c r="IO40" s="10"/>
      <c r="IP40" s="10"/>
      <c r="IQ40" s="10"/>
      <c r="IR40" s="10"/>
      <c r="IS40" s="10"/>
      <c r="IT40" s="10"/>
      <c r="IU40" s="10"/>
      <c r="IV40" s="10"/>
    </row>
    <row r="41" spans="1:256" s="11" customFormat="1" ht="12.75" customHeight="1" x14ac:dyDescent="0.2">
      <c r="A41" s="222" t="str">
        <f>IF(Eingabe!A135="","",Eingabe!A135)</f>
        <v/>
      </c>
      <c r="B41" s="145"/>
      <c r="C41" s="145"/>
      <c r="D41" s="145" t="str">
        <f>IF(Eingabe!B135="","",Eingabe!B135)</f>
        <v/>
      </c>
      <c r="E41" s="145"/>
      <c r="F41" s="145"/>
      <c r="G41" s="145"/>
      <c r="H41" s="137" t="str">
        <f>IF(Eingabe!C135="","",Eingabe!C135)</f>
        <v/>
      </c>
      <c r="I41" s="137"/>
      <c r="J41" s="137"/>
      <c r="K41" s="137"/>
      <c r="L41" s="232" t="str">
        <f>IF(Eingabe!D135="","",Eingabe!D135)</f>
        <v/>
      </c>
      <c r="M41" s="232"/>
      <c r="N41" s="232"/>
      <c r="O41" s="232"/>
      <c r="P41" s="232"/>
      <c r="Q41" s="232"/>
      <c r="R41" s="232"/>
      <c r="S41" s="232"/>
      <c r="T41" s="232"/>
      <c r="U41" s="232"/>
      <c r="V41" s="232"/>
      <c r="W41" s="232"/>
      <c r="X41" s="232"/>
      <c r="Y41" s="232"/>
      <c r="Z41" s="232"/>
      <c r="AA41" s="232"/>
      <c r="AB41" s="232"/>
      <c r="AC41" s="232"/>
      <c r="AD41" s="232"/>
      <c r="AE41" s="232"/>
      <c r="AF41" s="232"/>
      <c r="AG41" s="232"/>
      <c r="AH41" s="251" t="str">
        <f>IF(Eingabe!F135&amp;Eingabe!G135="","",Eingabe!F135&amp;"  /  "&amp;Eingabe!G135)</f>
        <v/>
      </c>
      <c r="AI41" s="251"/>
      <c r="AJ41" s="251"/>
      <c r="AK41" s="251"/>
      <c r="AL41" s="251"/>
      <c r="AM41" s="251"/>
      <c r="AN41" s="251"/>
      <c r="AO41" s="251"/>
      <c r="AP41" s="251"/>
      <c r="AQ41" s="251"/>
      <c r="AR41" s="251"/>
      <c r="AS41" s="251"/>
      <c r="AT41" s="251"/>
      <c r="AU41" s="251"/>
      <c r="AV41" s="251"/>
      <c r="AW41" s="251"/>
      <c r="AX41" s="251"/>
      <c r="AY41" s="251"/>
      <c r="AZ41" s="251"/>
      <c r="BA41" s="251"/>
      <c r="BB41" s="251"/>
      <c r="BC41" s="251"/>
      <c r="BD41" s="251"/>
      <c r="BE41" s="246" t="str">
        <f>IF(Eingabe!I135="","",Eingabe!I135)</f>
        <v/>
      </c>
      <c r="BF41" s="246"/>
      <c r="BG41" s="246"/>
      <c r="BH41" s="246"/>
      <c r="BI41" s="246"/>
      <c r="BJ41" s="246" t="str">
        <f>IF(Eingabe!I135="","",Eingabe!I135*Eingabe!B135)</f>
        <v/>
      </c>
      <c r="BK41" s="246"/>
      <c r="BL41" s="246"/>
      <c r="BM41" s="246"/>
      <c r="BN41" s="247"/>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c r="DT41" s="10"/>
      <c r="DU41" s="10"/>
      <c r="DV41" s="10"/>
      <c r="DW41" s="10"/>
      <c r="DX41" s="10"/>
      <c r="DY41" s="10"/>
      <c r="DZ41" s="10"/>
      <c r="EA41" s="10"/>
      <c r="EB41" s="10"/>
      <c r="EC41" s="10"/>
      <c r="ED41" s="10"/>
      <c r="EE41" s="10"/>
      <c r="EF41" s="10"/>
      <c r="EG41" s="10"/>
      <c r="EH41" s="10"/>
      <c r="EI41" s="10"/>
      <c r="EJ41" s="10"/>
      <c r="EK41" s="10"/>
      <c r="EL41" s="10"/>
      <c r="EM41" s="10"/>
      <c r="EN41" s="10"/>
      <c r="EO41" s="10"/>
      <c r="EP41" s="10"/>
      <c r="EQ41" s="10"/>
      <c r="ER41" s="10"/>
      <c r="ES41" s="10"/>
      <c r="ET41" s="10"/>
      <c r="EU41" s="10"/>
      <c r="EV41" s="10"/>
      <c r="EW41" s="10"/>
      <c r="EX41" s="10"/>
      <c r="EY41" s="10"/>
      <c r="EZ41" s="10"/>
      <c r="FA41" s="10"/>
      <c r="FB41" s="10"/>
      <c r="FC41" s="10"/>
      <c r="FD41" s="10"/>
      <c r="FE41" s="10"/>
      <c r="FF41" s="10"/>
      <c r="FG41" s="10"/>
      <c r="FH41" s="10"/>
      <c r="FI41" s="10"/>
      <c r="FJ41" s="10"/>
      <c r="FK41" s="10"/>
      <c r="FL41" s="10"/>
      <c r="FM41" s="10"/>
      <c r="FN41" s="10"/>
      <c r="FO41" s="10"/>
      <c r="FP41" s="10"/>
      <c r="FQ41" s="10"/>
      <c r="FR41" s="10"/>
      <c r="FS41" s="10"/>
      <c r="FT41" s="10"/>
      <c r="FU41" s="10"/>
      <c r="FV41" s="10"/>
      <c r="FW41" s="10"/>
      <c r="FX41" s="10"/>
      <c r="FY41" s="10"/>
      <c r="FZ41" s="10"/>
      <c r="GA41" s="10"/>
      <c r="GB41" s="10"/>
      <c r="GC41" s="10"/>
      <c r="GD41" s="10"/>
      <c r="GE41" s="10"/>
      <c r="GF41" s="10"/>
      <c r="GG41" s="10"/>
      <c r="GH41" s="10"/>
      <c r="GI41" s="10"/>
      <c r="GJ41" s="10"/>
      <c r="GK41" s="10"/>
      <c r="GL41" s="10"/>
      <c r="GM41" s="10"/>
      <c r="GN41" s="10"/>
      <c r="GO41" s="10"/>
      <c r="GP41" s="10"/>
      <c r="GQ41" s="10"/>
      <c r="GR41" s="10"/>
      <c r="GS41" s="10"/>
      <c r="GT41" s="10"/>
      <c r="GU41" s="10"/>
      <c r="GV41" s="10"/>
      <c r="GW41" s="10"/>
      <c r="GX41" s="10"/>
      <c r="GY41" s="10"/>
      <c r="GZ41" s="10"/>
      <c r="HA41" s="10"/>
      <c r="HB41" s="10"/>
      <c r="HC41" s="10"/>
      <c r="HD41" s="10"/>
      <c r="HE41" s="10"/>
      <c r="HF41" s="10"/>
      <c r="HG41" s="10"/>
      <c r="HH41" s="10"/>
      <c r="HI41" s="10"/>
      <c r="HJ41" s="10"/>
      <c r="HK41" s="10"/>
      <c r="HL41" s="10"/>
      <c r="HM41" s="10"/>
      <c r="HN41" s="10"/>
      <c r="HO41" s="10"/>
      <c r="HP41" s="10"/>
      <c r="HQ41" s="10"/>
      <c r="HR41" s="10"/>
      <c r="HS41" s="10"/>
      <c r="HT41" s="10"/>
      <c r="HU41" s="10"/>
      <c r="HV41" s="10"/>
      <c r="HW41" s="10"/>
      <c r="HX41" s="10"/>
      <c r="HY41" s="10"/>
      <c r="HZ41" s="10"/>
      <c r="IA41" s="10"/>
      <c r="IB41" s="10"/>
      <c r="IC41" s="10"/>
      <c r="ID41" s="10"/>
      <c r="IE41" s="10"/>
      <c r="IF41" s="10"/>
      <c r="IG41" s="10"/>
      <c r="IH41" s="10"/>
      <c r="II41" s="10"/>
      <c r="IJ41" s="10"/>
      <c r="IK41" s="10"/>
      <c r="IL41" s="10"/>
      <c r="IM41" s="10"/>
      <c r="IN41" s="10"/>
      <c r="IO41" s="10"/>
      <c r="IP41" s="10"/>
      <c r="IQ41" s="10"/>
      <c r="IR41" s="10"/>
      <c r="IS41" s="10"/>
      <c r="IT41" s="10"/>
      <c r="IU41" s="10"/>
      <c r="IV41" s="10"/>
    </row>
    <row r="42" spans="1:256" s="11" customFormat="1" ht="12.75" customHeight="1" x14ac:dyDescent="0.2">
      <c r="A42" s="222" t="str">
        <f>IF(Eingabe!A136="","",Eingabe!A136)</f>
        <v/>
      </c>
      <c r="B42" s="145"/>
      <c r="C42" s="145"/>
      <c r="D42" s="145" t="str">
        <f>IF(Eingabe!B136="","",Eingabe!B136)</f>
        <v/>
      </c>
      <c r="E42" s="145"/>
      <c r="F42" s="145"/>
      <c r="G42" s="145"/>
      <c r="H42" s="137" t="str">
        <f>IF(Eingabe!C136="","",Eingabe!C136)</f>
        <v/>
      </c>
      <c r="I42" s="137"/>
      <c r="J42" s="137"/>
      <c r="K42" s="137"/>
      <c r="L42" s="232" t="str">
        <f>IF(Eingabe!D136="","",Eingabe!D136)</f>
        <v/>
      </c>
      <c r="M42" s="232"/>
      <c r="N42" s="232"/>
      <c r="O42" s="232"/>
      <c r="P42" s="232"/>
      <c r="Q42" s="232"/>
      <c r="R42" s="232"/>
      <c r="S42" s="232"/>
      <c r="T42" s="232"/>
      <c r="U42" s="232"/>
      <c r="V42" s="232"/>
      <c r="W42" s="232"/>
      <c r="X42" s="232"/>
      <c r="Y42" s="232"/>
      <c r="Z42" s="232"/>
      <c r="AA42" s="232"/>
      <c r="AB42" s="232"/>
      <c r="AC42" s="232"/>
      <c r="AD42" s="232"/>
      <c r="AE42" s="232"/>
      <c r="AF42" s="232"/>
      <c r="AG42" s="232"/>
      <c r="AH42" s="251" t="str">
        <f>IF(Eingabe!F136&amp;Eingabe!G136="","",Eingabe!F136&amp;"  /  "&amp;Eingabe!G136)</f>
        <v/>
      </c>
      <c r="AI42" s="251"/>
      <c r="AJ42" s="251"/>
      <c r="AK42" s="251"/>
      <c r="AL42" s="251"/>
      <c r="AM42" s="251"/>
      <c r="AN42" s="251"/>
      <c r="AO42" s="251"/>
      <c r="AP42" s="251"/>
      <c r="AQ42" s="251"/>
      <c r="AR42" s="251"/>
      <c r="AS42" s="251"/>
      <c r="AT42" s="251"/>
      <c r="AU42" s="251"/>
      <c r="AV42" s="251"/>
      <c r="AW42" s="251"/>
      <c r="AX42" s="251"/>
      <c r="AY42" s="251"/>
      <c r="AZ42" s="251"/>
      <c r="BA42" s="251"/>
      <c r="BB42" s="251"/>
      <c r="BC42" s="251"/>
      <c r="BD42" s="251"/>
      <c r="BE42" s="246" t="str">
        <f>IF(Eingabe!I136="","",Eingabe!I136)</f>
        <v/>
      </c>
      <c r="BF42" s="246"/>
      <c r="BG42" s="246"/>
      <c r="BH42" s="246"/>
      <c r="BI42" s="246"/>
      <c r="BJ42" s="246" t="str">
        <f>IF(Eingabe!I136="","",Eingabe!I136*Eingabe!B136)</f>
        <v/>
      </c>
      <c r="BK42" s="246"/>
      <c r="BL42" s="246"/>
      <c r="BM42" s="246"/>
      <c r="BN42" s="247"/>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c r="DT42" s="10"/>
      <c r="DU42" s="10"/>
      <c r="DV42" s="10"/>
      <c r="DW42" s="10"/>
      <c r="DX42" s="10"/>
      <c r="DY42" s="10"/>
      <c r="DZ42" s="10"/>
      <c r="EA42" s="10"/>
      <c r="EB42" s="10"/>
      <c r="EC42" s="10"/>
      <c r="ED42" s="10"/>
      <c r="EE42" s="10"/>
      <c r="EF42" s="10"/>
      <c r="EG42" s="10"/>
      <c r="EH42" s="10"/>
      <c r="EI42" s="10"/>
      <c r="EJ42" s="10"/>
      <c r="EK42" s="10"/>
      <c r="EL42" s="10"/>
      <c r="EM42" s="10"/>
      <c r="EN42" s="10"/>
      <c r="EO42" s="10"/>
      <c r="EP42" s="10"/>
      <c r="EQ42" s="10"/>
      <c r="ER42" s="10"/>
      <c r="ES42" s="10"/>
      <c r="ET42" s="10"/>
      <c r="EU42" s="10"/>
      <c r="EV42" s="10"/>
      <c r="EW42" s="10"/>
      <c r="EX42" s="10"/>
      <c r="EY42" s="10"/>
      <c r="EZ42" s="10"/>
      <c r="FA42" s="10"/>
      <c r="FB42" s="10"/>
      <c r="FC42" s="10"/>
      <c r="FD42" s="10"/>
      <c r="FE42" s="10"/>
      <c r="FF42" s="10"/>
      <c r="FG42" s="10"/>
      <c r="FH42" s="10"/>
      <c r="FI42" s="10"/>
      <c r="FJ42" s="10"/>
      <c r="FK42" s="10"/>
      <c r="FL42" s="10"/>
      <c r="FM42" s="10"/>
      <c r="FN42" s="10"/>
      <c r="FO42" s="10"/>
      <c r="FP42" s="10"/>
      <c r="FQ42" s="10"/>
      <c r="FR42" s="10"/>
      <c r="FS42" s="10"/>
      <c r="FT42" s="10"/>
      <c r="FU42" s="10"/>
      <c r="FV42" s="10"/>
      <c r="FW42" s="10"/>
      <c r="FX42" s="10"/>
      <c r="FY42" s="10"/>
      <c r="FZ42" s="10"/>
      <c r="GA42" s="10"/>
      <c r="GB42" s="10"/>
      <c r="GC42" s="10"/>
      <c r="GD42" s="10"/>
      <c r="GE42" s="10"/>
      <c r="GF42" s="10"/>
      <c r="GG42" s="10"/>
      <c r="GH42" s="10"/>
      <c r="GI42" s="10"/>
      <c r="GJ42" s="10"/>
      <c r="GK42" s="10"/>
      <c r="GL42" s="10"/>
      <c r="GM42" s="10"/>
      <c r="GN42" s="10"/>
      <c r="GO42" s="10"/>
      <c r="GP42" s="10"/>
      <c r="GQ42" s="10"/>
      <c r="GR42" s="10"/>
      <c r="GS42" s="10"/>
      <c r="GT42" s="10"/>
      <c r="GU42" s="10"/>
      <c r="GV42" s="10"/>
      <c r="GW42" s="10"/>
      <c r="GX42" s="10"/>
      <c r="GY42" s="10"/>
      <c r="GZ42" s="10"/>
      <c r="HA42" s="10"/>
      <c r="HB42" s="10"/>
      <c r="HC42" s="10"/>
      <c r="HD42" s="10"/>
      <c r="HE42" s="10"/>
      <c r="HF42" s="10"/>
      <c r="HG42" s="10"/>
      <c r="HH42" s="10"/>
      <c r="HI42" s="10"/>
      <c r="HJ42" s="10"/>
      <c r="HK42" s="10"/>
      <c r="HL42" s="10"/>
      <c r="HM42" s="10"/>
      <c r="HN42" s="10"/>
      <c r="HO42" s="10"/>
      <c r="HP42" s="10"/>
      <c r="HQ42" s="10"/>
      <c r="HR42" s="10"/>
      <c r="HS42" s="10"/>
      <c r="HT42" s="10"/>
      <c r="HU42" s="10"/>
      <c r="HV42" s="10"/>
      <c r="HW42" s="10"/>
      <c r="HX42" s="10"/>
      <c r="HY42" s="10"/>
      <c r="HZ42" s="10"/>
      <c r="IA42" s="10"/>
      <c r="IB42" s="10"/>
      <c r="IC42" s="10"/>
      <c r="ID42" s="10"/>
      <c r="IE42" s="10"/>
      <c r="IF42" s="10"/>
      <c r="IG42" s="10"/>
      <c r="IH42" s="10"/>
      <c r="II42" s="10"/>
      <c r="IJ42" s="10"/>
      <c r="IK42" s="10"/>
      <c r="IL42" s="10"/>
      <c r="IM42" s="10"/>
      <c r="IN42" s="10"/>
      <c r="IO42" s="10"/>
      <c r="IP42" s="10"/>
      <c r="IQ42" s="10"/>
      <c r="IR42" s="10"/>
      <c r="IS42" s="10"/>
      <c r="IT42" s="10"/>
      <c r="IU42" s="10"/>
      <c r="IV42" s="10"/>
    </row>
    <row r="43" spans="1:256" s="11" customFormat="1" ht="12.75" customHeight="1" x14ac:dyDescent="0.2">
      <c r="A43" s="222" t="str">
        <f>IF(Eingabe!A137="","",Eingabe!A137)</f>
        <v/>
      </c>
      <c r="B43" s="145"/>
      <c r="C43" s="145"/>
      <c r="D43" s="145" t="str">
        <f>IF(Eingabe!B137="","",Eingabe!B137)</f>
        <v/>
      </c>
      <c r="E43" s="145"/>
      <c r="F43" s="145"/>
      <c r="G43" s="145"/>
      <c r="H43" s="137" t="str">
        <f>IF(Eingabe!C137="","",Eingabe!C137)</f>
        <v/>
      </c>
      <c r="I43" s="137"/>
      <c r="J43" s="137"/>
      <c r="K43" s="137"/>
      <c r="L43" s="232" t="str">
        <f>IF(Eingabe!D137="","",Eingabe!D137)</f>
        <v/>
      </c>
      <c r="M43" s="232"/>
      <c r="N43" s="232"/>
      <c r="O43" s="232"/>
      <c r="P43" s="232"/>
      <c r="Q43" s="232"/>
      <c r="R43" s="232"/>
      <c r="S43" s="232"/>
      <c r="T43" s="232"/>
      <c r="U43" s="232"/>
      <c r="V43" s="232"/>
      <c r="W43" s="232"/>
      <c r="X43" s="232"/>
      <c r="Y43" s="232"/>
      <c r="Z43" s="232"/>
      <c r="AA43" s="232"/>
      <c r="AB43" s="232"/>
      <c r="AC43" s="232"/>
      <c r="AD43" s="232"/>
      <c r="AE43" s="232"/>
      <c r="AF43" s="232"/>
      <c r="AG43" s="232"/>
      <c r="AH43" s="251" t="str">
        <f>IF(Eingabe!F137&amp;Eingabe!G137="","",Eingabe!F137&amp;"  /  "&amp;Eingabe!G137)</f>
        <v/>
      </c>
      <c r="AI43" s="251"/>
      <c r="AJ43" s="251"/>
      <c r="AK43" s="251"/>
      <c r="AL43" s="251"/>
      <c r="AM43" s="251"/>
      <c r="AN43" s="251"/>
      <c r="AO43" s="251"/>
      <c r="AP43" s="251"/>
      <c r="AQ43" s="251"/>
      <c r="AR43" s="251"/>
      <c r="AS43" s="251"/>
      <c r="AT43" s="251"/>
      <c r="AU43" s="251"/>
      <c r="AV43" s="251"/>
      <c r="AW43" s="251"/>
      <c r="AX43" s="251"/>
      <c r="AY43" s="251"/>
      <c r="AZ43" s="251"/>
      <c r="BA43" s="251"/>
      <c r="BB43" s="251"/>
      <c r="BC43" s="251"/>
      <c r="BD43" s="251"/>
      <c r="BE43" s="246" t="str">
        <f>IF(Eingabe!I137="","",Eingabe!I137)</f>
        <v/>
      </c>
      <c r="BF43" s="246"/>
      <c r="BG43" s="246"/>
      <c r="BH43" s="246"/>
      <c r="BI43" s="246"/>
      <c r="BJ43" s="246" t="str">
        <f>IF(Eingabe!I137="","",Eingabe!I137*Eingabe!B137)</f>
        <v/>
      </c>
      <c r="BK43" s="246"/>
      <c r="BL43" s="246"/>
      <c r="BM43" s="246"/>
      <c r="BN43" s="247"/>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c r="DT43" s="10"/>
      <c r="DU43" s="10"/>
      <c r="DV43" s="10"/>
      <c r="DW43" s="10"/>
      <c r="DX43" s="10"/>
      <c r="DY43" s="10"/>
      <c r="DZ43" s="10"/>
      <c r="EA43" s="10"/>
      <c r="EB43" s="10"/>
      <c r="EC43" s="10"/>
      <c r="ED43" s="10"/>
      <c r="EE43" s="10"/>
      <c r="EF43" s="10"/>
      <c r="EG43" s="10"/>
      <c r="EH43" s="10"/>
      <c r="EI43" s="10"/>
      <c r="EJ43" s="10"/>
      <c r="EK43" s="10"/>
      <c r="EL43" s="10"/>
      <c r="EM43" s="10"/>
      <c r="EN43" s="10"/>
      <c r="EO43" s="10"/>
      <c r="EP43" s="10"/>
      <c r="EQ43" s="10"/>
      <c r="ER43" s="10"/>
      <c r="ES43" s="10"/>
      <c r="ET43" s="10"/>
      <c r="EU43" s="10"/>
      <c r="EV43" s="10"/>
      <c r="EW43" s="10"/>
      <c r="EX43" s="10"/>
      <c r="EY43" s="10"/>
      <c r="EZ43" s="10"/>
      <c r="FA43" s="10"/>
      <c r="FB43" s="10"/>
      <c r="FC43" s="10"/>
      <c r="FD43" s="10"/>
      <c r="FE43" s="10"/>
      <c r="FF43" s="10"/>
      <c r="FG43" s="10"/>
      <c r="FH43" s="10"/>
      <c r="FI43" s="10"/>
      <c r="FJ43" s="10"/>
      <c r="FK43" s="10"/>
      <c r="FL43" s="10"/>
      <c r="FM43" s="10"/>
      <c r="FN43" s="10"/>
      <c r="FO43" s="10"/>
      <c r="FP43" s="10"/>
      <c r="FQ43" s="10"/>
      <c r="FR43" s="10"/>
      <c r="FS43" s="10"/>
      <c r="FT43" s="10"/>
      <c r="FU43" s="10"/>
      <c r="FV43" s="10"/>
      <c r="FW43" s="10"/>
      <c r="FX43" s="10"/>
      <c r="FY43" s="10"/>
      <c r="FZ43" s="10"/>
      <c r="GA43" s="10"/>
      <c r="GB43" s="10"/>
      <c r="GC43" s="10"/>
      <c r="GD43" s="10"/>
      <c r="GE43" s="10"/>
      <c r="GF43" s="10"/>
      <c r="GG43" s="10"/>
      <c r="GH43" s="10"/>
      <c r="GI43" s="10"/>
      <c r="GJ43" s="10"/>
      <c r="GK43" s="10"/>
      <c r="GL43" s="10"/>
      <c r="GM43" s="10"/>
      <c r="GN43" s="10"/>
      <c r="GO43" s="10"/>
      <c r="GP43" s="10"/>
      <c r="GQ43" s="10"/>
      <c r="GR43" s="10"/>
      <c r="GS43" s="10"/>
      <c r="GT43" s="10"/>
      <c r="GU43" s="10"/>
      <c r="GV43" s="10"/>
      <c r="GW43" s="10"/>
      <c r="GX43" s="10"/>
      <c r="GY43" s="10"/>
      <c r="GZ43" s="10"/>
      <c r="HA43" s="10"/>
      <c r="HB43" s="10"/>
      <c r="HC43" s="10"/>
      <c r="HD43" s="10"/>
      <c r="HE43" s="10"/>
      <c r="HF43" s="10"/>
      <c r="HG43" s="10"/>
      <c r="HH43" s="10"/>
      <c r="HI43" s="10"/>
      <c r="HJ43" s="10"/>
      <c r="HK43" s="10"/>
      <c r="HL43" s="10"/>
      <c r="HM43" s="10"/>
      <c r="HN43" s="10"/>
      <c r="HO43" s="10"/>
      <c r="HP43" s="10"/>
      <c r="HQ43" s="10"/>
      <c r="HR43" s="10"/>
      <c r="HS43" s="10"/>
      <c r="HT43" s="10"/>
      <c r="HU43" s="10"/>
      <c r="HV43" s="10"/>
      <c r="HW43" s="10"/>
      <c r="HX43" s="10"/>
      <c r="HY43" s="10"/>
      <c r="HZ43" s="10"/>
      <c r="IA43" s="10"/>
      <c r="IB43" s="10"/>
      <c r="IC43" s="10"/>
      <c r="ID43" s="10"/>
      <c r="IE43" s="10"/>
      <c r="IF43" s="10"/>
      <c r="IG43" s="10"/>
      <c r="IH43" s="10"/>
      <c r="II43" s="10"/>
      <c r="IJ43" s="10"/>
      <c r="IK43" s="10"/>
      <c r="IL43" s="10"/>
      <c r="IM43" s="10"/>
      <c r="IN43" s="10"/>
      <c r="IO43" s="10"/>
      <c r="IP43" s="10"/>
      <c r="IQ43" s="10"/>
      <c r="IR43" s="10"/>
      <c r="IS43" s="10"/>
      <c r="IT43" s="10"/>
      <c r="IU43" s="10"/>
      <c r="IV43" s="10"/>
    </row>
    <row r="44" spans="1:256" s="11" customFormat="1" ht="12.75" customHeight="1" x14ac:dyDescent="0.2">
      <c r="A44" s="222" t="str">
        <f>IF(Eingabe!A138="","",Eingabe!A138)</f>
        <v/>
      </c>
      <c r="B44" s="145"/>
      <c r="C44" s="145"/>
      <c r="D44" s="145" t="str">
        <f>IF(Eingabe!B138="","",Eingabe!B138)</f>
        <v/>
      </c>
      <c r="E44" s="145"/>
      <c r="F44" s="145"/>
      <c r="G44" s="145"/>
      <c r="H44" s="137" t="str">
        <f>IF(Eingabe!C138="","",Eingabe!C138)</f>
        <v/>
      </c>
      <c r="I44" s="137"/>
      <c r="J44" s="137"/>
      <c r="K44" s="137"/>
      <c r="L44" s="232" t="str">
        <f>IF(Eingabe!D138="","",Eingabe!D138)</f>
        <v/>
      </c>
      <c r="M44" s="232"/>
      <c r="N44" s="232"/>
      <c r="O44" s="232"/>
      <c r="P44" s="232"/>
      <c r="Q44" s="232"/>
      <c r="R44" s="232"/>
      <c r="S44" s="232"/>
      <c r="T44" s="232"/>
      <c r="U44" s="232"/>
      <c r="V44" s="232"/>
      <c r="W44" s="232"/>
      <c r="X44" s="232"/>
      <c r="Y44" s="232"/>
      <c r="Z44" s="232"/>
      <c r="AA44" s="232"/>
      <c r="AB44" s="232"/>
      <c r="AC44" s="232"/>
      <c r="AD44" s="232"/>
      <c r="AE44" s="232"/>
      <c r="AF44" s="232"/>
      <c r="AG44" s="232"/>
      <c r="AH44" s="251" t="str">
        <f>IF(Eingabe!F138&amp;Eingabe!G138="","",Eingabe!F138&amp;"  /  "&amp;Eingabe!G138)</f>
        <v/>
      </c>
      <c r="AI44" s="251"/>
      <c r="AJ44" s="251"/>
      <c r="AK44" s="251"/>
      <c r="AL44" s="251"/>
      <c r="AM44" s="251"/>
      <c r="AN44" s="251"/>
      <c r="AO44" s="251"/>
      <c r="AP44" s="251"/>
      <c r="AQ44" s="251"/>
      <c r="AR44" s="251"/>
      <c r="AS44" s="251"/>
      <c r="AT44" s="251"/>
      <c r="AU44" s="251"/>
      <c r="AV44" s="251"/>
      <c r="AW44" s="251"/>
      <c r="AX44" s="251"/>
      <c r="AY44" s="251"/>
      <c r="AZ44" s="251"/>
      <c r="BA44" s="251"/>
      <c r="BB44" s="251"/>
      <c r="BC44" s="251"/>
      <c r="BD44" s="251"/>
      <c r="BE44" s="246" t="str">
        <f>IF(Eingabe!I138="","",Eingabe!I138)</f>
        <v/>
      </c>
      <c r="BF44" s="246"/>
      <c r="BG44" s="246"/>
      <c r="BH44" s="246"/>
      <c r="BI44" s="246"/>
      <c r="BJ44" s="246" t="str">
        <f>IF(Eingabe!I138="","",Eingabe!I138*Eingabe!B138)</f>
        <v/>
      </c>
      <c r="BK44" s="246"/>
      <c r="BL44" s="246"/>
      <c r="BM44" s="246"/>
      <c r="BN44" s="247"/>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c r="DT44" s="10"/>
      <c r="DU44" s="10"/>
      <c r="DV44" s="10"/>
      <c r="DW44" s="10"/>
      <c r="DX44" s="10"/>
      <c r="DY44" s="10"/>
      <c r="DZ44" s="10"/>
      <c r="EA44" s="10"/>
      <c r="EB44" s="10"/>
      <c r="EC44" s="10"/>
      <c r="ED44" s="10"/>
      <c r="EE44" s="10"/>
      <c r="EF44" s="10"/>
      <c r="EG44" s="10"/>
      <c r="EH44" s="10"/>
      <c r="EI44" s="10"/>
      <c r="EJ44" s="10"/>
      <c r="EK44" s="10"/>
      <c r="EL44" s="10"/>
      <c r="EM44" s="10"/>
      <c r="EN44" s="10"/>
      <c r="EO44" s="10"/>
      <c r="EP44" s="10"/>
      <c r="EQ44" s="10"/>
      <c r="ER44" s="10"/>
      <c r="ES44" s="10"/>
      <c r="ET44" s="10"/>
      <c r="EU44" s="10"/>
      <c r="EV44" s="10"/>
      <c r="EW44" s="10"/>
      <c r="EX44" s="10"/>
      <c r="EY44" s="10"/>
      <c r="EZ44" s="10"/>
      <c r="FA44" s="10"/>
      <c r="FB44" s="10"/>
      <c r="FC44" s="10"/>
      <c r="FD44" s="10"/>
      <c r="FE44" s="10"/>
      <c r="FF44" s="10"/>
      <c r="FG44" s="10"/>
      <c r="FH44" s="10"/>
      <c r="FI44" s="10"/>
      <c r="FJ44" s="10"/>
      <c r="FK44" s="10"/>
      <c r="FL44" s="10"/>
      <c r="FM44" s="10"/>
      <c r="FN44" s="10"/>
      <c r="FO44" s="10"/>
      <c r="FP44" s="10"/>
      <c r="FQ44" s="10"/>
      <c r="FR44" s="10"/>
      <c r="FS44" s="10"/>
      <c r="FT44" s="10"/>
      <c r="FU44" s="10"/>
      <c r="FV44" s="10"/>
      <c r="FW44" s="10"/>
      <c r="FX44" s="10"/>
      <c r="FY44" s="10"/>
      <c r="FZ44" s="10"/>
      <c r="GA44" s="10"/>
      <c r="GB44" s="10"/>
      <c r="GC44" s="10"/>
      <c r="GD44" s="10"/>
      <c r="GE44" s="10"/>
      <c r="GF44" s="10"/>
      <c r="GG44" s="10"/>
      <c r="GH44" s="10"/>
      <c r="GI44" s="10"/>
      <c r="GJ44" s="10"/>
      <c r="GK44" s="10"/>
      <c r="GL44" s="10"/>
      <c r="GM44" s="10"/>
      <c r="GN44" s="10"/>
      <c r="GO44" s="10"/>
      <c r="GP44" s="10"/>
      <c r="GQ44" s="10"/>
      <c r="GR44" s="10"/>
      <c r="GS44" s="10"/>
      <c r="GT44" s="10"/>
      <c r="GU44" s="10"/>
      <c r="GV44" s="10"/>
      <c r="GW44" s="10"/>
      <c r="GX44" s="10"/>
      <c r="GY44" s="10"/>
      <c r="GZ44" s="10"/>
      <c r="HA44" s="10"/>
      <c r="HB44" s="10"/>
      <c r="HC44" s="10"/>
      <c r="HD44" s="10"/>
      <c r="HE44" s="10"/>
      <c r="HF44" s="10"/>
      <c r="HG44" s="10"/>
      <c r="HH44" s="10"/>
      <c r="HI44" s="10"/>
      <c r="HJ44" s="10"/>
      <c r="HK44" s="10"/>
      <c r="HL44" s="10"/>
      <c r="HM44" s="10"/>
      <c r="HN44" s="10"/>
      <c r="HO44" s="10"/>
      <c r="HP44" s="10"/>
      <c r="HQ44" s="10"/>
      <c r="HR44" s="10"/>
      <c r="HS44" s="10"/>
      <c r="HT44" s="10"/>
      <c r="HU44" s="10"/>
      <c r="HV44" s="10"/>
      <c r="HW44" s="10"/>
      <c r="HX44" s="10"/>
      <c r="HY44" s="10"/>
      <c r="HZ44" s="10"/>
      <c r="IA44" s="10"/>
      <c r="IB44" s="10"/>
      <c r="IC44" s="10"/>
      <c r="ID44" s="10"/>
      <c r="IE44" s="10"/>
      <c r="IF44" s="10"/>
      <c r="IG44" s="10"/>
      <c r="IH44" s="10"/>
      <c r="II44" s="10"/>
      <c r="IJ44" s="10"/>
      <c r="IK44" s="10"/>
      <c r="IL44" s="10"/>
      <c r="IM44" s="10"/>
      <c r="IN44" s="10"/>
      <c r="IO44" s="10"/>
      <c r="IP44" s="10"/>
      <c r="IQ44" s="10"/>
      <c r="IR44" s="10"/>
      <c r="IS44" s="10"/>
      <c r="IT44" s="10"/>
      <c r="IU44" s="10"/>
      <c r="IV44" s="10"/>
    </row>
    <row r="45" spans="1:256" s="11" customFormat="1" ht="12.75" customHeight="1" x14ac:dyDescent="0.2">
      <c r="A45" s="222" t="str">
        <f>IF(Eingabe!A139="","",Eingabe!A139)</f>
        <v/>
      </c>
      <c r="B45" s="145"/>
      <c r="C45" s="145"/>
      <c r="D45" s="145" t="str">
        <f>IF(Eingabe!B139="","",Eingabe!B139)</f>
        <v/>
      </c>
      <c r="E45" s="145"/>
      <c r="F45" s="145"/>
      <c r="G45" s="145"/>
      <c r="H45" s="137" t="str">
        <f>IF(Eingabe!C139="","",Eingabe!C139)</f>
        <v/>
      </c>
      <c r="I45" s="137"/>
      <c r="J45" s="137"/>
      <c r="K45" s="137"/>
      <c r="L45" s="232" t="str">
        <f>IF(Eingabe!D139="","",Eingabe!D139)</f>
        <v/>
      </c>
      <c r="M45" s="232"/>
      <c r="N45" s="232"/>
      <c r="O45" s="232"/>
      <c r="P45" s="232"/>
      <c r="Q45" s="232"/>
      <c r="R45" s="232"/>
      <c r="S45" s="232"/>
      <c r="T45" s="232"/>
      <c r="U45" s="232"/>
      <c r="V45" s="232"/>
      <c r="W45" s="232"/>
      <c r="X45" s="232"/>
      <c r="Y45" s="232"/>
      <c r="Z45" s="232"/>
      <c r="AA45" s="232"/>
      <c r="AB45" s="232"/>
      <c r="AC45" s="232"/>
      <c r="AD45" s="232"/>
      <c r="AE45" s="232"/>
      <c r="AF45" s="232"/>
      <c r="AG45" s="232"/>
      <c r="AH45" s="251" t="str">
        <f>IF(Eingabe!F139&amp;Eingabe!G139="","",Eingabe!F139&amp;"  /  "&amp;Eingabe!G139)</f>
        <v/>
      </c>
      <c r="AI45" s="251"/>
      <c r="AJ45" s="251"/>
      <c r="AK45" s="251"/>
      <c r="AL45" s="251"/>
      <c r="AM45" s="251"/>
      <c r="AN45" s="251"/>
      <c r="AO45" s="251"/>
      <c r="AP45" s="251"/>
      <c r="AQ45" s="251"/>
      <c r="AR45" s="251"/>
      <c r="AS45" s="251"/>
      <c r="AT45" s="251"/>
      <c r="AU45" s="251"/>
      <c r="AV45" s="251"/>
      <c r="AW45" s="251"/>
      <c r="AX45" s="251"/>
      <c r="AY45" s="251"/>
      <c r="AZ45" s="251"/>
      <c r="BA45" s="251"/>
      <c r="BB45" s="251"/>
      <c r="BC45" s="251"/>
      <c r="BD45" s="251"/>
      <c r="BE45" s="246" t="str">
        <f>IF(Eingabe!I139="","",Eingabe!I139)</f>
        <v/>
      </c>
      <c r="BF45" s="246"/>
      <c r="BG45" s="246"/>
      <c r="BH45" s="246"/>
      <c r="BI45" s="246"/>
      <c r="BJ45" s="246" t="str">
        <f>IF(Eingabe!I139="","",Eingabe!I139*Eingabe!B139)</f>
        <v/>
      </c>
      <c r="BK45" s="246"/>
      <c r="BL45" s="246"/>
      <c r="BM45" s="246"/>
      <c r="BN45" s="247"/>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c r="DT45" s="10"/>
      <c r="DU45" s="10"/>
      <c r="DV45" s="10"/>
      <c r="DW45" s="10"/>
      <c r="DX45" s="10"/>
      <c r="DY45" s="10"/>
      <c r="DZ45" s="10"/>
      <c r="EA45" s="10"/>
      <c r="EB45" s="10"/>
      <c r="EC45" s="10"/>
      <c r="ED45" s="10"/>
      <c r="EE45" s="10"/>
      <c r="EF45" s="10"/>
      <c r="EG45" s="10"/>
      <c r="EH45" s="10"/>
      <c r="EI45" s="10"/>
      <c r="EJ45" s="10"/>
      <c r="EK45" s="10"/>
      <c r="EL45" s="10"/>
      <c r="EM45" s="10"/>
      <c r="EN45" s="10"/>
      <c r="EO45" s="10"/>
      <c r="EP45" s="10"/>
      <c r="EQ45" s="10"/>
      <c r="ER45" s="10"/>
      <c r="ES45" s="10"/>
      <c r="ET45" s="10"/>
      <c r="EU45" s="10"/>
      <c r="EV45" s="10"/>
      <c r="EW45" s="10"/>
      <c r="EX45" s="10"/>
      <c r="EY45" s="10"/>
      <c r="EZ45" s="10"/>
      <c r="FA45" s="10"/>
      <c r="FB45" s="10"/>
      <c r="FC45" s="10"/>
      <c r="FD45" s="10"/>
      <c r="FE45" s="10"/>
      <c r="FF45" s="10"/>
      <c r="FG45" s="10"/>
      <c r="FH45" s="10"/>
      <c r="FI45" s="10"/>
      <c r="FJ45" s="10"/>
      <c r="FK45" s="10"/>
      <c r="FL45" s="10"/>
      <c r="FM45" s="10"/>
      <c r="FN45" s="10"/>
      <c r="FO45" s="10"/>
      <c r="FP45" s="10"/>
      <c r="FQ45" s="10"/>
      <c r="FR45" s="10"/>
      <c r="FS45" s="10"/>
      <c r="FT45" s="10"/>
      <c r="FU45" s="10"/>
      <c r="FV45" s="10"/>
      <c r="FW45" s="10"/>
      <c r="FX45" s="10"/>
      <c r="FY45" s="10"/>
      <c r="FZ45" s="10"/>
      <c r="GA45" s="10"/>
      <c r="GB45" s="10"/>
      <c r="GC45" s="10"/>
      <c r="GD45" s="10"/>
      <c r="GE45" s="10"/>
      <c r="GF45" s="10"/>
      <c r="GG45" s="10"/>
      <c r="GH45" s="10"/>
      <c r="GI45" s="10"/>
      <c r="GJ45" s="10"/>
      <c r="GK45" s="10"/>
      <c r="GL45" s="10"/>
      <c r="GM45" s="10"/>
      <c r="GN45" s="10"/>
      <c r="GO45" s="10"/>
      <c r="GP45" s="10"/>
      <c r="GQ45" s="10"/>
      <c r="GR45" s="10"/>
      <c r="GS45" s="10"/>
      <c r="GT45" s="10"/>
      <c r="GU45" s="10"/>
      <c r="GV45" s="10"/>
      <c r="GW45" s="10"/>
      <c r="GX45" s="10"/>
      <c r="GY45" s="10"/>
      <c r="GZ45" s="10"/>
      <c r="HA45" s="10"/>
      <c r="HB45" s="10"/>
      <c r="HC45" s="10"/>
      <c r="HD45" s="10"/>
      <c r="HE45" s="10"/>
      <c r="HF45" s="10"/>
      <c r="HG45" s="10"/>
      <c r="HH45" s="10"/>
      <c r="HI45" s="10"/>
      <c r="HJ45" s="10"/>
      <c r="HK45" s="10"/>
      <c r="HL45" s="10"/>
      <c r="HM45" s="10"/>
      <c r="HN45" s="10"/>
      <c r="HO45" s="10"/>
      <c r="HP45" s="10"/>
      <c r="HQ45" s="10"/>
      <c r="HR45" s="10"/>
      <c r="HS45" s="10"/>
      <c r="HT45" s="10"/>
      <c r="HU45" s="10"/>
      <c r="HV45" s="10"/>
      <c r="HW45" s="10"/>
      <c r="HX45" s="10"/>
      <c r="HY45" s="10"/>
      <c r="HZ45" s="10"/>
      <c r="IA45" s="10"/>
      <c r="IB45" s="10"/>
      <c r="IC45" s="10"/>
      <c r="ID45" s="10"/>
      <c r="IE45" s="10"/>
      <c r="IF45" s="10"/>
      <c r="IG45" s="10"/>
      <c r="IH45" s="10"/>
      <c r="II45" s="10"/>
      <c r="IJ45" s="10"/>
      <c r="IK45" s="10"/>
      <c r="IL45" s="10"/>
      <c r="IM45" s="10"/>
      <c r="IN45" s="10"/>
      <c r="IO45" s="10"/>
      <c r="IP45" s="10"/>
      <c r="IQ45" s="10"/>
      <c r="IR45" s="10"/>
      <c r="IS45" s="10"/>
      <c r="IT45" s="10"/>
      <c r="IU45" s="10"/>
      <c r="IV45" s="10"/>
    </row>
    <row r="46" spans="1:256" s="11" customFormat="1" ht="12.75" customHeight="1" x14ac:dyDescent="0.2">
      <c r="A46" s="222" t="str">
        <f>IF(Eingabe!A140="","",Eingabe!A140)</f>
        <v/>
      </c>
      <c r="B46" s="145"/>
      <c r="C46" s="145"/>
      <c r="D46" s="145" t="str">
        <f>IF(Eingabe!B140="","",Eingabe!B140)</f>
        <v/>
      </c>
      <c r="E46" s="145"/>
      <c r="F46" s="145"/>
      <c r="G46" s="145"/>
      <c r="H46" s="137" t="str">
        <f>IF(Eingabe!C140="","",Eingabe!C140)</f>
        <v/>
      </c>
      <c r="I46" s="137"/>
      <c r="J46" s="137"/>
      <c r="K46" s="137"/>
      <c r="L46" s="232" t="str">
        <f>IF(Eingabe!D140="","",Eingabe!D140)</f>
        <v/>
      </c>
      <c r="M46" s="232"/>
      <c r="N46" s="232"/>
      <c r="O46" s="232"/>
      <c r="P46" s="232"/>
      <c r="Q46" s="232"/>
      <c r="R46" s="232"/>
      <c r="S46" s="232"/>
      <c r="T46" s="232"/>
      <c r="U46" s="232"/>
      <c r="V46" s="232"/>
      <c r="W46" s="232"/>
      <c r="X46" s="232"/>
      <c r="Y46" s="232"/>
      <c r="Z46" s="232"/>
      <c r="AA46" s="232"/>
      <c r="AB46" s="232"/>
      <c r="AC46" s="232"/>
      <c r="AD46" s="232"/>
      <c r="AE46" s="232"/>
      <c r="AF46" s="232"/>
      <c r="AG46" s="232"/>
      <c r="AH46" s="251" t="str">
        <f>IF(Eingabe!F140&amp;Eingabe!G140="","",Eingabe!F140&amp;"  /  "&amp;Eingabe!G140)</f>
        <v/>
      </c>
      <c r="AI46" s="251"/>
      <c r="AJ46" s="251"/>
      <c r="AK46" s="251"/>
      <c r="AL46" s="251"/>
      <c r="AM46" s="251"/>
      <c r="AN46" s="251"/>
      <c r="AO46" s="251"/>
      <c r="AP46" s="251"/>
      <c r="AQ46" s="251"/>
      <c r="AR46" s="251"/>
      <c r="AS46" s="251"/>
      <c r="AT46" s="251"/>
      <c r="AU46" s="251"/>
      <c r="AV46" s="251"/>
      <c r="AW46" s="251"/>
      <c r="AX46" s="251"/>
      <c r="AY46" s="251"/>
      <c r="AZ46" s="251"/>
      <c r="BA46" s="251"/>
      <c r="BB46" s="251"/>
      <c r="BC46" s="251"/>
      <c r="BD46" s="251"/>
      <c r="BE46" s="246" t="str">
        <f>IF(Eingabe!I140="","",Eingabe!I140)</f>
        <v/>
      </c>
      <c r="BF46" s="246"/>
      <c r="BG46" s="246"/>
      <c r="BH46" s="246"/>
      <c r="BI46" s="246"/>
      <c r="BJ46" s="246" t="str">
        <f>IF(Eingabe!I140="","",Eingabe!I140*Eingabe!B140)</f>
        <v/>
      </c>
      <c r="BK46" s="246"/>
      <c r="BL46" s="246"/>
      <c r="BM46" s="246"/>
      <c r="BN46" s="247"/>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c r="DT46" s="10"/>
      <c r="DU46" s="10"/>
      <c r="DV46" s="10"/>
      <c r="DW46" s="10"/>
      <c r="DX46" s="10"/>
      <c r="DY46" s="10"/>
      <c r="DZ46" s="10"/>
      <c r="EA46" s="10"/>
      <c r="EB46" s="10"/>
      <c r="EC46" s="10"/>
      <c r="ED46" s="10"/>
      <c r="EE46" s="10"/>
      <c r="EF46" s="10"/>
      <c r="EG46" s="10"/>
      <c r="EH46" s="10"/>
      <c r="EI46" s="10"/>
      <c r="EJ46" s="10"/>
      <c r="EK46" s="10"/>
      <c r="EL46" s="10"/>
      <c r="EM46" s="10"/>
      <c r="EN46" s="10"/>
      <c r="EO46" s="10"/>
      <c r="EP46" s="10"/>
      <c r="EQ46" s="10"/>
      <c r="ER46" s="10"/>
      <c r="ES46" s="10"/>
      <c r="ET46" s="10"/>
      <c r="EU46" s="10"/>
      <c r="EV46" s="10"/>
      <c r="EW46" s="10"/>
      <c r="EX46" s="10"/>
      <c r="EY46" s="10"/>
      <c r="EZ46" s="10"/>
      <c r="FA46" s="10"/>
      <c r="FB46" s="10"/>
      <c r="FC46" s="10"/>
      <c r="FD46" s="10"/>
      <c r="FE46" s="10"/>
      <c r="FF46" s="10"/>
      <c r="FG46" s="10"/>
      <c r="FH46" s="10"/>
      <c r="FI46" s="10"/>
      <c r="FJ46" s="10"/>
      <c r="FK46" s="10"/>
      <c r="FL46" s="10"/>
      <c r="FM46" s="10"/>
      <c r="FN46" s="10"/>
      <c r="FO46" s="10"/>
      <c r="FP46" s="10"/>
      <c r="FQ46" s="10"/>
      <c r="FR46" s="10"/>
      <c r="FS46" s="10"/>
      <c r="FT46" s="10"/>
      <c r="FU46" s="10"/>
      <c r="FV46" s="10"/>
      <c r="FW46" s="10"/>
      <c r="FX46" s="10"/>
      <c r="FY46" s="10"/>
      <c r="FZ46" s="10"/>
      <c r="GA46" s="10"/>
      <c r="GB46" s="10"/>
      <c r="GC46" s="10"/>
      <c r="GD46" s="10"/>
      <c r="GE46" s="10"/>
      <c r="GF46" s="10"/>
      <c r="GG46" s="10"/>
      <c r="GH46" s="10"/>
      <c r="GI46" s="10"/>
      <c r="GJ46" s="10"/>
      <c r="GK46" s="10"/>
      <c r="GL46" s="10"/>
      <c r="GM46" s="10"/>
      <c r="GN46" s="10"/>
      <c r="GO46" s="10"/>
      <c r="GP46" s="10"/>
      <c r="GQ46" s="10"/>
      <c r="GR46" s="10"/>
      <c r="GS46" s="10"/>
      <c r="GT46" s="10"/>
      <c r="GU46" s="10"/>
      <c r="GV46" s="10"/>
      <c r="GW46" s="10"/>
      <c r="GX46" s="10"/>
      <c r="GY46" s="10"/>
      <c r="GZ46" s="10"/>
      <c r="HA46" s="10"/>
      <c r="HB46" s="10"/>
      <c r="HC46" s="10"/>
      <c r="HD46" s="10"/>
      <c r="HE46" s="10"/>
      <c r="HF46" s="10"/>
      <c r="HG46" s="10"/>
      <c r="HH46" s="10"/>
      <c r="HI46" s="10"/>
      <c r="HJ46" s="10"/>
      <c r="HK46" s="10"/>
      <c r="HL46" s="10"/>
      <c r="HM46" s="10"/>
      <c r="HN46" s="10"/>
      <c r="HO46" s="10"/>
      <c r="HP46" s="10"/>
      <c r="HQ46" s="10"/>
      <c r="HR46" s="10"/>
      <c r="HS46" s="10"/>
      <c r="HT46" s="10"/>
      <c r="HU46" s="10"/>
      <c r="HV46" s="10"/>
      <c r="HW46" s="10"/>
      <c r="HX46" s="10"/>
      <c r="HY46" s="10"/>
      <c r="HZ46" s="10"/>
      <c r="IA46" s="10"/>
      <c r="IB46" s="10"/>
      <c r="IC46" s="10"/>
      <c r="ID46" s="10"/>
      <c r="IE46" s="10"/>
      <c r="IF46" s="10"/>
      <c r="IG46" s="10"/>
      <c r="IH46" s="10"/>
      <c r="II46" s="10"/>
      <c r="IJ46" s="10"/>
      <c r="IK46" s="10"/>
      <c r="IL46" s="10"/>
      <c r="IM46" s="10"/>
      <c r="IN46" s="10"/>
      <c r="IO46" s="10"/>
      <c r="IP46" s="10"/>
      <c r="IQ46" s="10"/>
      <c r="IR46" s="10"/>
      <c r="IS46" s="10"/>
      <c r="IT46" s="10"/>
      <c r="IU46" s="10"/>
      <c r="IV46" s="10"/>
    </row>
    <row r="47" spans="1:256" s="11" customFormat="1" ht="12.75" customHeight="1" x14ac:dyDescent="0.2">
      <c r="A47" s="222" t="str">
        <f>IF(Eingabe!A141="","",Eingabe!A141)</f>
        <v/>
      </c>
      <c r="B47" s="145"/>
      <c r="C47" s="145"/>
      <c r="D47" s="145" t="str">
        <f>IF(Eingabe!B141="","",Eingabe!B141)</f>
        <v/>
      </c>
      <c r="E47" s="145"/>
      <c r="F47" s="145"/>
      <c r="G47" s="145"/>
      <c r="H47" s="137" t="str">
        <f>IF(Eingabe!C141="","",Eingabe!C141)</f>
        <v/>
      </c>
      <c r="I47" s="137"/>
      <c r="J47" s="137"/>
      <c r="K47" s="137"/>
      <c r="L47" s="232" t="str">
        <f>IF(Eingabe!D141="","",Eingabe!D141)</f>
        <v/>
      </c>
      <c r="M47" s="232"/>
      <c r="N47" s="232"/>
      <c r="O47" s="232"/>
      <c r="P47" s="232"/>
      <c r="Q47" s="232"/>
      <c r="R47" s="232"/>
      <c r="S47" s="232"/>
      <c r="T47" s="232"/>
      <c r="U47" s="232"/>
      <c r="V47" s="232"/>
      <c r="W47" s="232"/>
      <c r="X47" s="232"/>
      <c r="Y47" s="232"/>
      <c r="Z47" s="232"/>
      <c r="AA47" s="232"/>
      <c r="AB47" s="232"/>
      <c r="AC47" s="232"/>
      <c r="AD47" s="232"/>
      <c r="AE47" s="232"/>
      <c r="AF47" s="232"/>
      <c r="AG47" s="232"/>
      <c r="AH47" s="251" t="str">
        <f>IF(Eingabe!F141&amp;Eingabe!G141="","",Eingabe!F141&amp;"  /  "&amp;Eingabe!G141)</f>
        <v/>
      </c>
      <c r="AI47" s="251"/>
      <c r="AJ47" s="251"/>
      <c r="AK47" s="251"/>
      <c r="AL47" s="251"/>
      <c r="AM47" s="251"/>
      <c r="AN47" s="251"/>
      <c r="AO47" s="251"/>
      <c r="AP47" s="251"/>
      <c r="AQ47" s="251"/>
      <c r="AR47" s="251"/>
      <c r="AS47" s="251"/>
      <c r="AT47" s="251"/>
      <c r="AU47" s="251"/>
      <c r="AV47" s="251"/>
      <c r="AW47" s="251"/>
      <c r="AX47" s="251"/>
      <c r="AY47" s="251"/>
      <c r="AZ47" s="251"/>
      <c r="BA47" s="251"/>
      <c r="BB47" s="251"/>
      <c r="BC47" s="251"/>
      <c r="BD47" s="251"/>
      <c r="BE47" s="246" t="str">
        <f>IF(Eingabe!I141="","",Eingabe!I141)</f>
        <v/>
      </c>
      <c r="BF47" s="246"/>
      <c r="BG47" s="246"/>
      <c r="BH47" s="246"/>
      <c r="BI47" s="246"/>
      <c r="BJ47" s="246" t="str">
        <f>IF(Eingabe!I141="","",Eingabe!I141*Eingabe!B141)</f>
        <v/>
      </c>
      <c r="BK47" s="246"/>
      <c r="BL47" s="246"/>
      <c r="BM47" s="246"/>
      <c r="BN47" s="247"/>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c r="DT47" s="10"/>
      <c r="DU47" s="10"/>
      <c r="DV47" s="10"/>
      <c r="DW47" s="10"/>
      <c r="DX47" s="10"/>
      <c r="DY47" s="10"/>
      <c r="DZ47" s="10"/>
      <c r="EA47" s="10"/>
      <c r="EB47" s="10"/>
      <c r="EC47" s="10"/>
      <c r="ED47" s="10"/>
      <c r="EE47" s="10"/>
      <c r="EF47" s="10"/>
      <c r="EG47" s="10"/>
      <c r="EH47" s="10"/>
      <c r="EI47" s="10"/>
      <c r="EJ47" s="10"/>
      <c r="EK47" s="10"/>
      <c r="EL47" s="10"/>
      <c r="EM47" s="10"/>
      <c r="EN47" s="10"/>
      <c r="EO47" s="10"/>
      <c r="EP47" s="10"/>
      <c r="EQ47" s="10"/>
      <c r="ER47" s="10"/>
      <c r="ES47" s="10"/>
      <c r="ET47" s="10"/>
      <c r="EU47" s="10"/>
      <c r="EV47" s="10"/>
      <c r="EW47" s="10"/>
      <c r="EX47" s="10"/>
      <c r="EY47" s="10"/>
      <c r="EZ47" s="10"/>
      <c r="FA47" s="10"/>
      <c r="FB47" s="10"/>
      <c r="FC47" s="10"/>
      <c r="FD47" s="10"/>
      <c r="FE47" s="10"/>
      <c r="FF47" s="10"/>
      <c r="FG47" s="10"/>
      <c r="FH47" s="10"/>
      <c r="FI47" s="10"/>
      <c r="FJ47" s="10"/>
      <c r="FK47" s="10"/>
      <c r="FL47" s="10"/>
      <c r="FM47" s="10"/>
      <c r="FN47" s="10"/>
      <c r="FO47" s="10"/>
      <c r="FP47" s="10"/>
      <c r="FQ47" s="10"/>
      <c r="FR47" s="10"/>
      <c r="FS47" s="10"/>
      <c r="FT47" s="10"/>
      <c r="FU47" s="10"/>
      <c r="FV47" s="10"/>
      <c r="FW47" s="10"/>
      <c r="FX47" s="10"/>
      <c r="FY47" s="10"/>
      <c r="FZ47" s="10"/>
      <c r="GA47" s="10"/>
      <c r="GB47" s="10"/>
      <c r="GC47" s="10"/>
      <c r="GD47" s="10"/>
      <c r="GE47" s="10"/>
      <c r="GF47" s="10"/>
      <c r="GG47" s="10"/>
      <c r="GH47" s="10"/>
      <c r="GI47" s="10"/>
      <c r="GJ47" s="10"/>
      <c r="GK47" s="10"/>
      <c r="GL47" s="10"/>
      <c r="GM47" s="10"/>
      <c r="GN47" s="10"/>
      <c r="GO47" s="10"/>
      <c r="GP47" s="10"/>
      <c r="GQ47" s="10"/>
      <c r="GR47" s="10"/>
      <c r="GS47" s="10"/>
      <c r="GT47" s="10"/>
      <c r="GU47" s="10"/>
      <c r="GV47" s="10"/>
      <c r="GW47" s="10"/>
      <c r="GX47" s="10"/>
      <c r="GY47" s="10"/>
      <c r="GZ47" s="10"/>
      <c r="HA47" s="10"/>
      <c r="HB47" s="10"/>
      <c r="HC47" s="10"/>
      <c r="HD47" s="10"/>
      <c r="HE47" s="10"/>
      <c r="HF47" s="10"/>
      <c r="HG47" s="10"/>
      <c r="HH47" s="10"/>
      <c r="HI47" s="10"/>
      <c r="HJ47" s="10"/>
      <c r="HK47" s="10"/>
      <c r="HL47" s="10"/>
      <c r="HM47" s="10"/>
      <c r="HN47" s="10"/>
      <c r="HO47" s="10"/>
      <c r="HP47" s="10"/>
      <c r="HQ47" s="10"/>
      <c r="HR47" s="10"/>
      <c r="HS47" s="10"/>
      <c r="HT47" s="10"/>
      <c r="HU47" s="10"/>
      <c r="HV47" s="10"/>
      <c r="HW47" s="10"/>
      <c r="HX47" s="10"/>
      <c r="HY47" s="10"/>
      <c r="HZ47" s="10"/>
      <c r="IA47" s="10"/>
      <c r="IB47" s="10"/>
      <c r="IC47" s="10"/>
      <c r="ID47" s="10"/>
      <c r="IE47" s="10"/>
      <c r="IF47" s="10"/>
      <c r="IG47" s="10"/>
      <c r="IH47" s="10"/>
      <c r="II47" s="10"/>
      <c r="IJ47" s="10"/>
      <c r="IK47" s="10"/>
      <c r="IL47" s="10"/>
      <c r="IM47" s="10"/>
      <c r="IN47" s="10"/>
      <c r="IO47" s="10"/>
      <c r="IP47" s="10"/>
      <c r="IQ47" s="10"/>
      <c r="IR47" s="10"/>
      <c r="IS47" s="10"/>
      <c r="IT47" s="10"/>
      <c r="IU47" s="10"/>
      <c r="IV47" s="10"/>
    </row>
    <row r="48" spans="1:256" s="11" customFormat="1" ht="12.75" customHeight="1" thickBot="1" x14ac:dyDescent="0.25">
      <c r="A48" s="220" t="str">
        <f>IF(Eingabe!A142="","",Eingabe!A142)</f>
        <v/>
      </c>
      <c r="B48" s="221"/>
      <c r="C48" s="221"/>
      <c r="D48" s="221" t="str">
        <f>IF(Eingabe!B142="","",Eingabe!B142)</f>
        <v/>
      </c>
      <c r="E48" s="221"/>
      <c r="F48" s="221"/>
      <c r="G48" s="221"/>
      <c r="H48" s="182" t="str">
        <f>IF(Eingabe!C142="","",Eingabe!C142)</f>
        <v/>
      </c>
      <c r="I48" s="182"/>
      <c r="J48" s="182"/>
      <c r="K48" s="182"/>
      <c r="L48" s="296" t="str">
        <f>IF(Eingabe!D142="","",Eingabe!D142)</f>
        <v/>
      </c>
      <c r="M48" s="296"/>
      <c r="N48" s="296"/>
      <c r="O48" s="296"/>
      <c r="P48" s="296"/>
      <c r="Q48" s="296"/>
      <c r="R48" s="296"/>
      <c r="S48" s="296"/>
      <c r="T48" s="296"/>
      <c r="U48" s="296"/>
      <c r="V48" s="296"/>
      <c r="W48" s="296"/>
      <c r="X48" s="296"/>
      <c r="Y48" s="296"/>
      <c r="Z48" s="296"/>
      <c r="AA48" s="296"/>
      <c r="AB48" s="296"/>
      <c r="AC48" s="296"/>
      <c r="AD48" s="296"/>
      <c r="AE48" s="296"/>
      <c r="AF48" s="296"/>
      <c r="AG48" s="296"/>
      <c r="AH48" s="251" t="str">
        <f>IF(Eingabe!F142&amp;Eingabe!G142="","",Eingabe!F142&amp;"  /  "&amp;Eingabe!G142)</f>
        <v/>
      </c>
      <c r="AI48" s="251"/>
      <c r="AJ48" s="251"/>
      <c r="AK48" s="251"/>
      <c r="AL48" s="251"/>
      <c r="AM48" s="251"/>
      <c r="AN48" s="251"/>
      <c r="AO48" s="251"/>
      <c r="AP48" s="251"/>
      <c r="AQ48" s="251"/>
      <c r="AR48" s="251"/>
      <c r="AS48" s="251"/>
      <c r="AT48" s="251"/>
      <c r="AU48" s="251"/>
      <c r="AV48" s="251"/>
      <c r="AW48" s="251"/>
      <c r="AX48" s="251"/>
      <c r="AY48" s="251"/>
      <c r="AZ48" s="251"/>
      <c r="BA48" s="251"/>
      <c r="BB48" s="251"/>
      <c r="BC48" s="251"/>
      <c r="BD48" s="251"/>
      <c r="BE48" s="269" t="str">
        <f>IF(Eingabe!I142="","",Eingabe!I142)</f>
        <v/>
      </c>
      <c r="BF48" s="269"/>
      <c r="BG48" s="269"/>
      <c r="BH48" s="269"/>
      <c r="BI48" s="269"/>
      <c r="BJ48" s="269" t="str">
        <f>IF(Eingabe!I142="","",Eingabe!I142*Eingabe!B142)</f>
        <v/>
      </c>
      <c r="BK48" s="269"/>
      <c r="BL48" s="269"/>
      <c r="BM48" s="269"/>
      <c r="BN48" s="272"/>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c r="DT48" s="10"/>
      <c r="DU48" s="10"/>
      <c r="DV48" s="10"/>
      <c r="DW48" s="10"/>
      <c r="DX48" s="10"/>
      <c r="DY48" s="10"/>
      <c r="DZ48" s="10"/>
      <c r="EA48" s="10"/>
      <c r="EB48" s="10"/>
      <c r="EC48" s="10"/>
      <c r="ED48" s="10"/>
      <c r="EE48" s="10"/>
      <c r="EF48" s="10"/>
      <c r="EG48" s="10"/>
      <c r="EH48" s="10"/>
      <c r="EI48" s="10"/>
      <c r="EJ48" s="10"/>
      <c r="EK48" s="10"/>
      <c r="EL48" s="10"/>
      <c r="EM48" s="10"/>
      <c r="EN48" s="10"/>
      <c r="EO48" s="10"/>
      <c r="EP48" s="10"/>
      <c r="EQ48" s="10"/>
      <c r="ER48" s="10"/>
      <c r="ES48" s="10"/>
      <c r="ET48" s="10"/>
      <c r="EU48" s="10"/>
      <c r="EV48" s="10"/>
      <c r="EW48" s="10"/>
      <c r="EX48" s="10"/>
      <c r="EY48" s="10"/>
      <c r="EZ48" s="10"/>
      <c r="FA48" s="10"/>
      <c r="FB48" s="10"/>
      <c r="FC48" s="10"/>
      <c r="FD48" s="10"/>
      <c r="FE48" s="10"/>
      <c r="FF48" s="10"/>
      <c r="FG48" s="10"/>
      <c r="FH48" s="10"/>
      <c r="FI48" s="10"/>
      <c r="FJ48" s="10"/>
      <c r="FK48" s="10"/>
      <c r="FL48" s="10"/>
      <c r="FM48" s="10"/>
      <c r="FN48" s="10"/>
      <c r="FO48" s="10"/>
      <c r="FP48" s="10"/>
      <c r="FQ48" s="10"/>
      <c r="FR48" s="10"/>
      <c r="FS48" s="10"/>
      <c r="FT48" s="10"/>
      <c r="FU48" s="10"/>
      <c r="FV48" s="10"/>
      <c r="FW48" s="10"/>
      <c r="FX48" s="10"/>
      <c r="FY48" s="10"/>
      <c r="FZ48" s="10"/>
      <c r="GA48" s="10"/>
      <c r="GB48" s="10"/>
      <c r="GC48" s="10"/>
      <c r="GD48" s="10"/>
      <c r="GE48" s="10"/>
      <c r="GF48" s="10"/>
      <c r="GG48" s="10"/>
      <c r="GH48" s="10"/>
      <c r="GI48" s="10"/>
      <c r="GJ48" s="10"/>
      <c r="GK48" s="10"/>
      <c r="GL48" s="10"/>
      <c r="GM48" s="10"/>
      <c r="GN48" s="10"/>
      <c r="GO48" s="10"/>
      <c r="GP48" s="10"/>
      <c r="GQ48" s="10"/>
      <c r="GR48" s="10"/>
      <c r="GS48" s="10"/>
      <c r="GT48" s="10"/>
      <c r="GU48" s="10"/>
      <c r="GV48" s="10"/>
      <c r="GW48" s="10"/>
      <c r="GX48" s="10"/>
      <c r="GY48" s="10"/>
      <c r="GZ48" s="10"/>
      <c r="HA48" s="10"/>
      <c r="HB48" s="10"/>
      <c r="HC48" s="10"/>
      <c r="HD48" s="10"/>
      <c r="HE48" s="10"/>
      <c r="HF48" s="10"/>
      <c r="HG48" s="10"/>
      <c r="HH48" s="10"/>
      <c r="HI48" s="10"/>
      <c r="HJ48" s="10"/>
      <c r="HK48" s="10"/>
      <c r="HL48" s="10"/>
      <c r="HM48" s="10"/>
      <c r="HN48" s="10"/>
      <c r="HO48" s="10"/>
      <c r="HP48" s="10"/>
      <c r="HQ48" s="10"/>
      <c r="HR48" s="10"/>
      <c r="HS48" s="10"/>
      <c r="HT48" s="10"/>
      <c r="HU48" s="10"/>
      <c r="HV48" s="10"/>
      <c r="HW48" s="10"/>
      <c r="HX48" s="10"/>
      <c r="HY48" s="10"/>
      <c r="HZ48" s="10"/>
      <c r="IA48" s="10"/>
      <c r="IB48" s="10"/>
      <c r="IC48" s="10"/>
      <c r="ID48" s="10"/>
      <c r="IE48" s="10"/>
      <c r="IF48" s="10"/>
      <c r="IG48" s="10"/>
      <c r="IH48" s="10"/>
      <c r="II48" s="10"/>
      <c r="IJ48" s="10"/>
      <c r="IK48" s="10"/>
      <c r="IL48" s="10"/>
      <c r="IM48" s="10"/>
      <c r="IN48" s="10"/>
      <c r="IO48" s="10"/>
      <c r="IP48" s="10"/>
      <c r="IQ48" s="10"/>
      <c r="IR48" s="10"/>
      <c r="IS48" s="10"/>
      <c r="IT48" s="10"/>
      <c r="IU48" s="10"/>
      <c r="IV48" s="10"/>
    </row>
    <row r="49" spans="1:256" s="11" customFormat="1" ht="19.5" customHeight="1" x14ac:dyDescent="0.2">
      <c r="A49" s="258"/>
      <c r="B49" s="259"/>
      <c r="C49" s="259"/>
      <c r="D49" s="259"/>
      <c r="E49" s="259"/>
      <c r="F49" s="259"/>
      <c r="G49" s="259"/>
      <c r="H49" s="259"/>
      <c r="I49" s="259"/>
      <c r="J49" s="259"/>
      <c r="K49" s="259"/>
      <c r="L49" s="259"/>
      <c r="M49" s="259"/>
      <c r="N49" s="259"/>
      <c r="O49" s="259"/>
      <c r="P49" s="259"/>
      <c r="Q49" s="259"/>
      <c r="R49" s="259"/>
      <c r="S49" s="259"/>
      <c r="T49" s="259"/>
      <c r="U49" s="259"/>
      <c r="V49" s="259"/>
      <c r="W49" s="259"/>
      <c r="X49" s="259"/>
      <c r="Y49" s="259"/>
      <c r="Z49" s="259"/>
      <c r="AA49" s="259"/>
      <c r="AB49" s="259"/>
      <c r="AC49" s="259"/>
      <c r="AD49" s="259"/>
      <c r="AE49" s="259"/>
      <c r="AF49" s="259"/>
      <c r="AG49" s="260"/>
      <c r="AH49" s="282" t="s">
        <v>36</v>
      </c>
      <c r="AI49" s="283"/>
      <c r="AJ49" s="283"/>
      <c r="AK49" s="283"/>
      <c r="AL49" s="283"/>
      <c r="AM49" s="283"/>
      <c r="AN49" s="283"/>
      <c r="AO49" s="283"/>
      <c r="AP49" s="283"/>
      <c r="AQ49" s="283"/>
      <c r="AR49" s="283"/>
      <c r="AS49" s="283"/>
      <c r="AT49" s="283"/>
      <c r="AU49" s="283"/>
      <c r="AV49" s="283"/>
      <c r="AW49" s="283"/>
      <c r="AX49" s="283"/>
      <c r="AY49" s="283"/>
      <c r="AZ49" s="283"/>
      <c r="BA49" s="283"/>
      <c r="BB49" s="283"/>
      <c r="BC49" s="283"/>
      <c r="BD49" s="283"/>
      <c r="BE49" s="295">
        <f>'Materialkalkulation (2)'!BE52:BN52</f>
        <v>1.3122999999999998</v>
      </c>
      <c r="BF49" s="270"/>
      <c r="BG49" s="270"/>
      <c r="BH49" s="270"/>
      <c r="BI49" s="270"/>
      <c r="BJ49" s="270"/>
      <c r="BK49" s="270"/>
      <c r="BL49" s="270"/>
      <c r="BM49" s="270"/>
      <c r="BN49" s="271"/>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c r="DT49" s="10"/>
      <c r="DU49" s="10"/>
      <c r="DV49" s="10"/>
      <c r="DW49" s="10"/>
      <c r="DX49" s="10"/>
      <c r="DY49" s="10"/>
      <c r="DZ49" s="10"/>
      <c r="EA49" s="10"/>
      <c r="EB49" s="10"/>
      <c r="EC49" s="10"/>
      <c r="ED49" s="10"/>
      <c r="EE49" s="10"/>
      <c r="EF49" s="10"/>
      <c r="EG49" s="10"/>
      <c r="EH49" s="10"/>
      <c r="EI49" s="10"/>
      <c r="EJ49" s="10"/>
      <c r="EK49" s="10"/>
      <c r="EL49" s="10"/>
      <c r="EM49" s="10"/>
      <c r="EN49" s="10"/>
      <c r="EO49" s="10"/>
      <c r="EP49" s="10"/>
      <c r="EQ49" s="10"/>
      <c r="ER49" s="10"/>
      <c r="ES49" s="10"/>
      <c r="ET49" s="10"/>
      <c r="EU49" s="10"/>
      <c r="EV49" s="10"/>
      <c r="EW49" s="10"/>
      <c r="EX49" s="10"/>
      <c r="EY49" s="10"/>
      <c r="EZ49" s="10"/>
      <c r="FA49" s="10"/>
      <c r="FB49" s="10"/>
      <c r="FC49" s="10"/>
      <c r="FD49" s="10"/>
      <c r="FE49" s="10"/>
      <c r="FF49" s="10"/>
      <c r="FG49" s="10"/>
      <c r="FH49" s="10"/>
      <c r="FI49" s="10"/>
      <c r="FJ49" s="10"/>
      <c r="FK49" s="10"/>
      <c r="FL49" s="10"/>
      <c r="FM49" s="10"/>
      <c r="FN49" s="10"/>
      <c r="FO49" s="10"/>
      <c r="FP49" s="10"/>
      <c r="FQ49" s="10"/>
      <c r="FR49" s="10"/>
      <c r="FS49" s="10"/>
      <c r="FT49" s="10"/>
      <c r="FU49" s="10"/>
      <c r="FV49" s="10"/>
      <c r="FW49" s="10"/>
      <c r="FX49" s="10"/>
      <c r="FY49" s="10"/>
      <c r="FZ49" s="10"/>
      <c r="GA49" s="10"/>
      <c r="GB49" s="10"/>
      <c r="GC49" s="10"/>
      <c r="GD49" s="10"/>
      <c r="GE49" s="10"/>
      <c r="GF49" s="10"/>
      <c r="GG49" s="10"/>
      <c r="GH49" s="10"/>
      <c r="GI49" s="10"/>
      <c r="GJ49" s="10"/>
      <c r="GK49" s="10"/>
      <c r="GL49" s="10"/>
      <c r="GM49" s="10"/>
      <c r="GN49" s="10"/>
      <c r="GO49" s="10"/>
      <c r="GP49" s="10"/>
      <c r="GQ49" s="10"/>
      <c r="GR49" s="10"/>
      <c r="GS49" s="10"/>
      <c r="GT49" s="10"/>
      <c r="GU49" s="10"/>
      <c r="GV49" s="10"/>
      <c r="GW49" s="10"/>
      <c r="GX49" s="10"/>
      <c r="GY49" s="10"/>
      <c r="GZ49" s="10"/>
      <c r="HA49" s="10"/>
      <c r="HB49" s="10"/>
      <c r="HC49" s="10"/>
      <c r="HD49" s="10"/>
      <c r="HE49" s="10"/>
      <c r="HF49" s="10"/>
      <c r="HG49" s="10"/>
      <c r="HH49" s="10"/>
      <c r="HI49" s="10"/>
      <c r="HJ49" s="10"/>
      <c r="HK49" s="10"/>
      <c r="HL49" s="10"/>
      <c r="HM49" s="10"/>
      <c r="HN49" s="10"/>
      <c r="HO49" s="10"/>
      <c r="HP49" s="10"/>
      <c r="HQ49" s="10"/>
      <c r="HR49" s="10"/>
      <c r="HS49" s="10"/>
      <c r="HT49" s="10"/>
      <c r="HU49" s="10"/>
      <c r="HV49" s="10"/>
      <c r="HW49" s="10"/>
      <c r="HX49" s="10"/>
      <c r="HY49" s="10"/>
      <c r="HZ49" s="10"/>
      <c r="IA49" s="10"/>
      <c r="IB49" s="10"/>
      <c r="IC49" s="10"/>
      <c r="ID49" s="10"/>
      <c r="IE49" s="10"/>
      <c r="IF49" s="10"/>
      <c r="IG49" s="10"/>
      <c r="IH49" s="10"/>
      <c r="II49" s="10"/>
      <c r="IJ49" s="10"/>
      <c r="IK49" s="10"/>
      <c r="IL49" s="10"/>
      <c r="IM49" s="10"/>
      <c r="IN49" s="10"/>
      <c r="IO49" s="10"/>
      <c r="IP49" s="10"/>
      <c r="IQ49" s="10"/>
      <c r="IR49" s="10"/>
      <c r="IS49" s="10"/>
      <c r="IT49" s="10"/>
      <c r="IU49" s="10"/>
      <c r="IV49" s="10"/>
    </row>
    <row r="50" spans="1:256" s="11" customFormat="1" ht="19.5" customHeight="1" x14ac:dyDescent="0.2">
      <c r="A50" s="261"/>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3"/>
      <c r="AH50" s="273" t="s">
        <v>32</v>
      </c>
      <c r="AI50" s="274"/>
      <c r="AJ50" s="274"/>
      <c r="AK50" s="274"/>
      <c r="AL50" s="274"/>
      <c r="AM50" s="274"/>
      <c r="AN50" s="274"/>
      <c r="AO50" s="274"/>
      <c r="AP50" s="274"/>
      <c r="AQ50" s="274"/>
      <c r="AR50" s="274"/>
      <c r="AS50" s="274"/>
      <c r="AT50" s="274"/>
      <c r="AU50" s="274"/>
      <c r="AV50" s="274"/>
      <c r="AW50" s="274"/>
      <c r="AX50" s="274"/>
      <c r="AY50" s="274"/>
      <c r="AZ50" s="274"/>
      <c r="BA50" s="274"/>
      <c r="BB50" s="274"/>
      <c r="BC50" s="274"/>
      <c r="BD50" s="274"/>
      <c r="BE50" s="278">
        <f>SUM(BJ4:BN48)</f>
        <v>0</v>
      </c>
      <c r="BF50" s="278"/>
      <c r="BG50" s="278"/>
      <c r="BH50" s="278"/>
      <c r="BI50" s="278"/>
      <c r="BJ50" s="278"/>
      <c r="BK50" s="278"/>
      <c r="BL50" s="278"/>
      <c r="BM50" s="278"/>
      <c r="BN50" s="279"/>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row>
    <row r="51" spans="1:256" s="11" customFormat="1" ht="19.5" customHeight="1" thickBot="1" x14ac:dyDescent="0.25">
      <c r="A51" s="261"/>
      <c r="B51" s="262"/>
      <c r="C51" s="262"/>
      <c r="D51" s="262"/>
      <c r="E51" s="262"/>
      <c r="F51" s="262"/>
      <c r="G51" s="262"/>
      <c r="H51" s="262"/>
      <c r="I51" s="262"/>
      <c r="J51" s="262"/>
      <c r="K51" s="262"/>
      <c r="L51" s="262"/>
      <c r="M51" s="262"/>
      <c r="N51" s="262"/>
      <c r="O51" s="262"/>
      <c r="P51" s="262"/>
      <c r="Q51" s="262"/>
      <c r="R51" s="262"/>
      <c r="S51" s="262"/>
      <c r="T51" s="262"/>
      <c r="U51" s="262"/>
      <c r="V51" s="262"/>
      <c r="W51" s="262"/>
      <c r="X51" s="262"/>
      <c r="Y51" s="262"/>
      <c r="Z51" s="262"/>
      <c r="AA51" s="262"/>
      <c r="AB51" s="262"/>
      <c r="AC51" s="262"/>
      <c r="AD51" s="262"/>
      <c r="AE51" s="262"/>
      <c r="AF51" s="262"/>
      <c r="AG51" s="263"/>
      <c r="AH51" s="273" t="s">
        <v>34</v>
      </c>
      <c r="AI51" s="274"/>
      <c r="AJ51" s="274"/>
      <c r="AK51" s="274"/>
      <c r="AL51" s="274"/>
      <c r="AM51" s="274"/>
      <c r="AN51" s="274"/>
      <c r="AO51" s="274"/>
      <c r="AP51" s="274"/>
      <c r="AQ51" s="274"/>
      <c r="AR51" s="274"/>
      <c r="AS51" s="274"/>
      <c r="AT51" s="274"/>
      <c r="AU51" s="274"/>
      <c r="AV51" s="274"/>
      <c r="AW51" s="274"/>
      <c r="AX51" s="274"/>
      <c r="AY51" s="274"/>
      <c r="AZ51" s="274"/>
      <c r="BA51" s="274"/>
      <c r="BB51" s="274"/>
      <c r="BC51" s="274"/>
      <c r="BD51" s="274"/>
      <c r="BE51" s="280">
        <f>BE50*0.1</f>
        <v>0</v>
      </c>
      <c r="BF51" s="280"/>
      <c r="BG51" s="280"/>
      <c r="BH51" s="280"/>
      <c r="BI51" s="280"/>
      <c r="BJ51" s="280"/>
      <c r="BK51" s="280"/>
      <c r="BL51" s="280"/>
      <c r="BM51" s="280"/>
      <c r="BN51" s="281"/>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c r="DT51" s="10"/>
      <c r="DU51" s="10"/>
      <c r="DV51" s="10"/>
      <c r="DW51" s="10"/>
      <c r="DX51" s="10"/>
      <c r="DY51" s="10"/>
      <c r="DZ51" s="10"/>
      <c r="EA51" s="10"/>
      <c r="EB51" s="10"/>
      <c r="EC51" s="10"/>
      <c r="ED51" s="10"/>
      <c r="EE51" s="10"/>
      <c r="EF51" s="10"/>
      <c r="EG51" s="10"/>
      <c r="EH51" s="10"/>
      <c r="EI51" s="10"/>
      <c r="EJ51" s="10"/>
      <c r="EK51" s="10"/>
      <c r="EL51" s="10"/>
      <c r="EM51" s="10"/>
      <c r="EN51" s="10"/>
      <c r="EO51" s="10"/>
      <c r="EP51" s="10"/>
      <c r="EQ51" s="10"/>
      <c r="ER51" s="10"/>
      <c r="ES51" s="10"/>
      <c r="ET51" s="10"/>
      <c r="EU51" s="10"/>
      <c r="EV51" s="10"/>
      <c r="EW51" s="10"/>
      <c r="EX51" s="10"/>
      <c r="EY51" s="10"/>
      <c r="EZ51" s="10"/>
      <c r="FA51" s="10"/>
      <c r="FB51" s="10"/>
      <c r="FC51" s="10"/>
      <c r="FD51" s="10"/>
      <c r="FE51" s="10"/>
      <c r="FF51" s="10"/>
      <c r="FG51" s="10"/>
      <c r="FH51" s="10"/>
      <c r="FI51" s="10"/>
      <c r="FJ51" s="10"/>
      <c r="FK51" s="10"/>
      <c r="FL51" s="10"/>
      <c r="FM51" s="10"/>
      <c r="FN51" s="10"/>
      <c r="FO51" s="10"/>
      <c r="FP51" s="10"/>
      <c r="FQ51" s="10"/>
      <c r="FR51" s="10"/>
      <c r="FS51" s="10"/>
      <c r="FT51" s="10"/>
      <c r="FU51" s="10"/>
      <c r="FV51" s="10"/>
      <c r="FW51" s="10"/>
      <c r="FX51" s="10"/>
      <c r="FY51" s="10"/>
      <c r="FZ51" s="10"/>
      <c r="GA51" s="10"/>
      <c r="GB51" s="10"/>
      <c r="GC51" s="10"/>
      <c r="GD51" s="10"/>
      <c r="GE51" s="10"/>
      <c r="GF51" s="10"/>
      <c r="GG51" s="10"/>
      <c r="GH51" s="10"/>
      <c r="GI51" s="10"/>
      <c r="GJ51" s="10"/>
      <c r="GK51" s="10"/>
      <c r="GL51" s="10"/>
      <c r="GM51" s="10"/>
      <c r="GN51" s="10"/>
      <c r="GO51" s="10"/>
      <c r="GP51" s="10"/>
      <c r="GQ51" s="10"/>
      <c r="GR51" s="10"/>
      <c r="GS51" s="10"/>
      <c r="GT51" s="10"/>
      <c r="GU51" s="10"/>
      <c r="GV51" s="10"/>
      <c r="GW51" s="10"/>
      <c r="GX51" s="10"/>
      <c r="GY51" s="10"/>
      <c r="GZ51" s="10"/>
      <c r="HA51" s="10"/>
      <c r="HB51" s="10"/>
      <c r="HC51" s="10"/>
      <c r="HD51" s="10"/>
      <c r="HE51" s="10"/>
      <c r="HF51" s="10"/>
      <c r="HG51" s="10"/>
      <c r="HH51" s="10"/>
      <c r="HI51" s="10"/>
      <c r="HJ51" s="10"/>
      <c r="HK51" s="10"/>
      <c r="HL51" s="10"/>
      <c r="HM51" s="10"/>
      <c r="HN51" s="10"/>
      <c r="HO51" s="10"/>
      <c r="HP51" s="10"/>
      <c r="HQ51" s="10"/>
      <c r="HR51" s="10"/>
      <c r="HS51" s="10"/>
      <c r="HT51" s="10"/>
      <c r="HU51" s="10"/>
      <c r="HV51" s="10"/>
      <c r="HW51" s="10"/>
      <c r="HX51" s="10"/>
      <c r="HY51" s="10"/>
      <c r="HZ51" s="10"/>
      <c r="IA51" s="10"/>
      <c r="IB51" s="10"/>
      <c r="IC51" s="10"/>
      <c r="ID51" s="10"/>
      <c r="IE51" s="10"/>
      <c r="IF51" s="10"/>
      <c r="IG51" s="10"/>
      <c r="IH51" s="10"/>
      <c r="II51" s="10"/>
      <c r="IJ51" s="10"/>
      <c r="IK51" s="10"/>
      <c r="IL51" s="10"/>
      <c r="IM51" s="10"/>
      <c r="IN51" s="10"/>
      <c r="IO51" s="10"/>
      <c r="IP51" s="10"/>
      <c r="IQ51" s="10"/>
      <c r="IR51" s="10"/>
      <c r="IS51" s="10"/>
      <c r="IT51" s="10"/>
      <c r="IU51" s="10"/>
      <c r="IV51" s="10"/>
    </row>
    <row r="52" spans="1:256" s="11" customFormat="1" ht="19.5" customHeight="1" thickBot="1" x14ac:dyDescent="0.25">
      <c r="A52" s="264"/>
      <c r="B52" s="265"/>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6"/>
      <c r="AH52" s="267" t="s">
        <v>33</v>
      </c>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80">
        <f>SUM(BE49:BN51)</f>
        <v>1.3122999999999998</v>
      </c>
      <c r="BF52" s="280"/>
      <c r="BG52" s="280"/>
      <c r="BH52" s="280"/>
      <c r="BI52" s="280"/>
      <c r="BJ52" s="280"/>
      <c r="BK52" s="280"/>
      <c r="BL52" s="280"/>
      <c r="BM52" s="280"/>
      <c r="BN52" s="281"/>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c r="DT52" s="10"/>
      <c r="DU52" s="10"/>
      <c r="DV52" s="10"/>
      <c r="DW52" s="10"/>
      <c r="DX52" s="10"/>
      <c r="DY52" s="10"/>
      <c r="DZ52" s="10"/>
      <c r="EA52" s="10"/>
      <c r="EB52" s="10"/>
      <c r="EC52" s="10"/>
      <c r="ED52" s="10"/>
      <c r="EE52" s="10"/>
      <c r="EF52" s="10"/>
      <c r="EG52" s="10"/>
      <c r="EH52" s="10"/>
      <c r="EI52" s="10"/>
      <c r="EJ52" s="10"/>
      <c r="EK52" s="10"/>
      <c r="EL52" s="10"/>
      <c r="EM52" s="10"/>
      <c r="EN52" s="10"/>
      <c r="EO52" s="10"/>
      <c r="EP52" s="10"/>
      <c r="EQ52" s="10"/>
      <c r="ER52" s="10"/>
      <c r="ES52" s="10"/>
      <c r="ET52" s="10"/>
      <c r="EU52" s="10"/>
      <c r="EV52" s="10"/>
      <c r="EW52" s="10"/>
      <c r="EX52" s="10"/>
      <c r="EY52" s="10"/>
      <c r="EZ52" s="10"/>
      <c r="FA52" s="10"/>
      <c r="FB52" s="10"/>
      <c r="FC52" s="10"/>
      <c r="FD52" s="10"/>
      <c r="FE52" s="10"/>
      <c r="FF52" s="10"/>
      <c r="FG52" s="10"/>
      <c r="FH52" s="10"/>
      <c r="FI52" s="10"/>
      <c r="FJ52" s="10"/>
      <c r="FK52" s="10"/>
      <c r="FL52" s="10"/>
      <c r="FM52" s="10"/>
      <c r="FN52" s="10"/>
      <c r="FO52" s="10"/>
      <c r="FP52" s="10"/>
      <c r="FQ52" s="10"/>
      <c r="FR52" s="10"/>
      <c r="FS52" s="10"/>
      <c r="FT52" s="10"/>
      <c r="FU52" s="10"/>
      <c r="FV52" s="10"/>
      <c r="FW52" s="10"/>
      <c r="FX52" s="10"/>
      <c r="FY52" s="10"/>
      <c r="FZ52" s="10"/>
      <c r="GA52" s="10"/>
      <c r="GB52" s="10"/>
      <c r="GC52" s="10"/>
      <c r="GD52" s="10"/>
      <c r="GE52" s="10"/>
      <c r="GF52" s="10"/>
      <c r="GG52" s="10"/>
      <c r="GH52" s="10"/>
      <c r="GI52" s="10"/>
      <c r="GJ52" s="10"/>
      <c r="GK52" s="10"/>
      <c r="GL52" s="10"/>
      <c r="GM52" s="10"/>
      <c r="GN52" s="10"/>
      <c r="GO52" s="10"/>
      <c r="GP52" s="10"/>
      <c r="GQ52" s="10"/>
      <c r="GR52" s="10"/>
      <c r="GS52" s="10"/>
      <c r="GT52" s="10"/>
      <c r="GU52" s="10"/>
      <c r="GV52" s="10"/>
      <c r="GW52" s="10"/>
      <c r="GX52" s="10"/>
      <c r="GY52" s="10"/>
      <c r="GZ52" s="10"/>
      <c r="HA52" s="10"/>
      <c r="HB52" s="10"/>
      <c r="HC52" s="10"/>
      <c r="HD52" s="10"/>
      <c r="HE52" s="10"/>
      <c r="HF52" s="10"/>
      <c r="HG52" s="10"/>
      <c r="HH52" s="10"/>
      <c r="HI52" s="10"/>
      <c r="HJ52" s="10"/>
      <c r="HK52" s="10"/>
      <c r="HL52" s="10"/>
      <c r="HM52" s="10"/>
      <c r="HN52" s="10"/>
      <c r="HO52" s="10"/>
      <c r="HP52" s="10"/>
      <c r="HQ52" s="10"/>
      <c r="HR52" s="10"/>
      <c r="HS52" s="10"/>
      <c r="HT52" s="10"/>
      <c r="HU52" s="10"/>
      <c r="HV52" s="10"/>
      <c r="HW52" s="10"/>
      <c r="HX52" s="10"/>
      <c r="HY52" s="10"/>
      <c r="HZ52" s="10"/>
      <c r="IA52" s="10"/>
      <c r="IB52" s="10"/>
      <c r="IC52" s="10"/>
      <c r="ID52" s="10"/>
      <c r="IE52" s="10"/>
      <c r="IF52" s="10"/>
      <c r="IG52" s="10"/>
      <c r="IH52" s="10"/>
      <c r="II52" s="10"/>
      <c r="IJ52" s="10"/>
      <c r="IK52" s="10"/>
      <c r="IL52" s="10"/>
      <c r="IM52" s="10"/>
      <c r="IN52" s="10"/>
      <c r="IO52" s="10"/>
      <c r="IP52" s="10"/>
      <c r="IQ52" s="10"/>
      <c r="IR52" s="10"/>
      <c r="IS52" s="10"/>
      <c r="IT52" s="10"/>
      <c r="IU52" s="10"/>
      <c r="IV52" s="10"/>
    </row>
    <row r="53" spans="1:256" ht="10.5" customHeight="1" x14ac:dyDescent="0.2">
      <c r="A53" s="134" t="s">
        <v>0</v>
      </c>
      <c r="B53" s="135"/>
      <c r="C53" s="135"/>
      <c r="D53" s="135"/>
      <c r="E53" s="135"/>
      <c r="F53" s="135"/>
      <c r="G53" s="135"/>
      <c r="H53" s="135"/>
      <c r="I53" s="135"/>
      <c r="J53" s="135"/>
      <c r="K53" s="135"/>
      <c r="L53" s="135"/>
      <c r="M53" s="135"/>
      <c r="N53" s="135"/>
      <c r="O53" s="135"/>
      <c r="P53" s="135"/>
      <c r="Q53" s="135"/>
      <c r="R53" s="135"/>
      <c r="S53" s="135"/>
      <c r="T53" s="135"/>
      <c r="U53" s="135"/>
      <c r="V53" s="136"/>
      <c r="W53" s="134" t="s">
        <v>1</v>
      </c>
      <c r="X53" s="135"/>
      <c r="Y53" s="135"/>
      <c r="Z53" s="135"/>
      <c r="AA53" s="135"/>
      <c r="AB53" s="135"/>
      <c r="AC53" s="135"/>
      <c r="AD53" s="135"/>
      <c r="AE53" s="135"/>
      <c r="AF53" s="135"/>
      <c r="AG53" s="135"/>
      <c r="AH53" s="135"/>
      <c r="AI53" s="135"/>
      <c r="AJ53" s="135"/>
      <c r="AK53" s="135"/>
      <c r="AL53" s="135"/>
      <c r="AM53" s="135"/>
      <c r="AN53" s="135"/>
      <c r="AO53" s="135"/>
      <c r="AP53" s="135"/>
      <c r="AQ53" s="135"/>
      <c r="AR53" s="136"/>
      <c r="AS53" s="134" t="s">
        <v>2</v>
      </c>
      <c r="AT53" s="135"/>
      <c r="AU53" s="135"/>
      <c r="AV53" s="135"/>
      <c r="AW53" s="135"/>
      <c r="AX53" s="135"/>
      <c r="AY53" s="135"/>
      <c r="AZ53" s="135"/>
      <c r="BA53" s="136"/>
      <c r="BB53" s="134" t="s">
        <v>3</v>
      </c>
      <c r="BC53" s="135"/>
      <c r="BD53" s="135"/>
      <c r="BE53" s="135"/>
      <c r="BF53" s="135"/>
      <c r="BG53" s="135"/>
      <c r="BH53" s="135"/>
      <c r="BI53" s="135"/>
      <c r="BJ53" s="135"/>
      <c r="BK53" s="135"/>
      <c r="BL53" s="135"/>
      <c r="BM53" s="135"/>
      <c r="BN53" s="136"/>
    </row>
    <row r="54" spans="1:256" ht="10.5" customHeight="1" x14ac:dyDescent="0.2">
      <c r="A54" s="167" t="str">
        <f>IF(Eingabe!O3="","",Eingabe!O3)</f>
        <v>Beilage 10</v>
      </c>
      <c r="B54" s="168"/>
      <c r="C54" s="168"/>
      <c r="D54" s="168"/>
      <c r="E54" s="168"/>
      <c r="F54" s="168"/>
      <c r="G54" s="168"/>
      <c r="H54" s="168"/>
      <c r="I54" s="168"/>
      <c r="J54" s="168"/>
      <c r="K54" s="168"/>
      <c r="L54" s="168"/>
      <c r="M54" s="168"/>
      <c r="N54" s="168"/>
      <c r="O54" s="168"/>
      <c r="P54" s="168"/>
      <c r="Q54" s="168"/>
      <c r="R54" s="168"/>
      <c r="S54" s="168"/>
      <c r="T54" s="168"/>
      <c r="U54" s="168"/>
      <c r="V54" s="169"/>
      <c r="W54" s="186" t="str">
        <f>IF(Eingabe!E3="","",Eingabe!E3)</f>
        <v>Max Mustermann</v>
      </c>
      <c r="X54" s="187"/>
      <c r="Y54" s="187"/>
      <c r="Z54" s="187"/>
      <c r="AA54" s="187"/>
      <c r="AB54" s="187"/>
      <c r="AC54" s="187"/>
      <c r="AD54" s="187"/>
      <c r="AE54" s="187"/>
      <c r="AF54" s="187"/>
      <c r="AG54" s="187"/>
      <c r="AH54" s="187"/>
      <c r="AI54" s="187"/>
      <c r="AJ54" s="187"/>
      <c r="AK54" s="187"/>
      <c r="AL54" s="187"/>
      <c r="AM54" s="187"/>
      <c r="AN54" s="187"/>
      <c r="AO54" s="187"/>
      <c r="AP54" s="187"/>
      <c r="AQ54" s="187"/>
      <c r="AR54" s="188"/>
      <c r="AS54" s="210" t="str">
        <f>IF(Eingabe!I1="","",Eingabe!I1)</f>
        <v/>
      </c>
      <c r="AT54" s="211"/>
      <c r="AU54" s="211"/>
      <c r="AV54" s="211"/>
      <c r="AW54" s="211"/>
      <c r="AX54" s="211"/>
      <c r="AY54" s="211"/>
      <c r="AZ54" s="211"/>
      <c r="BA54" s="212"/>
      <c r="BB54" s="210" t="str">
        <f>IF(Eingabe!I2="","",Eingabe!I2)</f>
        <v/>
      </c>
      <c r="BC54" s="211"/>
      <c r="BD54" s="211"/>
      <c r="BE54" s="211"/>
      <c r="BF54" s="211"/>
      <c r="BG54" s="211"/>
      <c r="BH54" s="211"/>
      <c r="BI54" s="211"/>
      <c r="BJ54" s="211"/>
      <c r="BK54" s="211"/>
      <c r="BL54" s="211"/>
      <c r="BM54" s="211"/>
      <c r="BN54" s="212"/>
    </row>
    <row r="55" spans="1:256" ht="10.5" customHeight="1" thickBot="1" x14ac:dyDescent="0.25">
      <c r="A55" s="170"/>
      <c r="B55" s="171"/>
      <c r="C55" s="171"/>
      <c r="D55" s="171"/>
      <c r="E55" s="171"/>
      <c r="F55" s="171"/>
      <c r="G55" s="171"/>
      <c r="H55" s="171"/>
      <c r="I55" s="171"/>
      <c r="J55" s="171"/>
      <c r="K55" s="171"/>
      <c r="L55" s="171"/>
      <c r="M55" s="171"/>
      <c r="N55" s="171"/>
      <c r="O55" s="171"/>
      <c r="P55" s="171"/>
      <c r="Q55" s="171"/>
      <c r="R55" s="171"/>
      <c r="S55" s="171"/>
      <c r="T55" s="171"/>
      <c r="U55" s="171"/>
      <c r="V55" s="172"/>
      <c r="W55" s="189"/>
      <c r="X55" s="190"/>
      <c r="Y55" s="190"/>
      <c r="Z55" s="190"/>
      <c r="AA55" s="190"/>
      <c r="AB55" s="190"/>
      <c r="AC55" s="190"/>
      <c r="AD55" s="190"/>
      <c r="AE55" s="190"/>
      <c r="AF55" s="190"/>
      <c r="AG55" s="190"/>
      <c r="AH55" s="190"/>
      <c r="AI55" s="190"/>
      <c r="AJ55" s="190"/>
      <c r="AK55" s="190"/>
      <c r="AL55" s="190"/>
      <c r="AM55" s="190"/>
      <c r="AN55" s="190"/>
      <c r="AO55" s="190"/>
      <c r="AP55" s="190"/>
      <c r="AQ55" s="190"/>
      <c r="AR55" s="191"/>
      <c r="AS55" s="213"/>
      <c r="AT55" s="214"/>
      <c r="AU55" s="214"/>
      <c r="AV55" s="214"/>
      <c r="AW55" s="214"/>
      <c r="AX55" s="214"/>
      <c r="AY55" s="214"/>
      <c r="AZ55" s="214"/>
      <c r="BA55" s="215"/>
      <c r="BB55" s="213"/>
      <c r="BC55" s="214"/>
      <c r="BD55" s="214"/>
      <c r="BE55" s="214"/>
      <c r="BF55" s="214"/>
      <c r="BG55" s="214"/>
      <c r="BH55" s="214"/>
      <c r="BI55" s="214"/>
      <c r="BJ55" s="214"/>
      <c r="BK55" s="214"/>
      <c r="BL55" s="214"/>
      <c r="BM55" s="214"/>
      <c r="BN55" s="215"/>
    </row>
    <row r="56" spans="1:256" ht="10.5" customHeight="1" x14ac:dyDescent="0.2">
      <c r="A56" s="173"/>
      <c r="B56" s="174"/>
      <c r="C56" s="174"/>
      <c r="D56" s="174"/>
      <c r="E56" s="174"/>
      <c r="F56" s="174"/>
      <c r="G56" s="174"/>
      <c r="H56" s="174"/>
      <c r="I56" s="174"/>
      <c r="J56" s="174"/>
      <c r="K56" s="174"/>
      <c r="L56" s="174"/>
      <c r="M56" s="174"/>
      <c r="N56" s="174"/>
      <c r="O56" s="174"/>
      <c r="P56" s="174"/>
      <c r="Q56" s="174"/>
      <c r="R56" s="174"/>
      <c r="S56" s="174"/>
      <c r="T56" s="174"/>
      <c r="U56" s="174"/>
      <c r="V56" s="175"/>
      <c r="W56" s="134" t="s">
        <v>4</v>
      </c>
      <c r="X56" s="135"/>
      <c r="Y56" s="135"/>
      <c r="Z56" s="135"/>
      <c r="AA56" s="135"/>
      <c r="AB56" s="135"/>
      <c r="AC56" s="135"/>
      <c r="AD56" s="135"/>
      <c r="AE56" s="135"/>
      <c r="AF56" s="136"/>
      <c r="AG56" s="134" t="s">
        <v>5</v>
      </c>
      <c r="AH56" s="135"/>
      <c r="AI56" s="135"/>
      <c r="AJ56" s="136"/>
      <c r="AK56" s="134" t="s">
        <v>6</v>
      </c>
      <c r="AL56" s="135"/>
      <c r="AM56" s="135"/>
      <c r="AN56" s="136"/>
      <c r="AO56" s="134" t="s">
        <v>7</v>
      </c>
      <c r="AP56" s="135"/>
      <c r="AQ56" s="135"/>
      <c r="AR56" s="136"/>
      <c r="AS56" s="134" t="s">
        <v>8</v>
      </c>
      <c r="AT56" s="135"/>
      <c r="AU56" s="135"/>
      <c r="AV56" s="135"/>
      <c r="AW56" s="135"/>
      <c r="AX56" s="135"/>
      <c r="AY56" s="135"/>
      <c r="AZ56" s="135"/>
      <c r="BA56" s="135"/>
      <c r="BB56" s="135"/>
      <c r="BC56" s="135"/>
      <c r="BD56" s="135"/>
      <c r="BE56" s="135"/>
      <c r="BF56" s="135"/>
      <c r="BG56" s="135"/>
      <c r="BH56" s="136"/>
      <c r="BI56" s="134" t="s">
        <v>9</v>
      </c>
      <c r="BJ56" s="135"/>
      <c r="BK56" s="135"/>
      <c r="BL56" s="135"/>
      <c r="BM56" s="135"/>
      <c r="BN56" s="136"/>
    </row>
    <row r="57" spans="1:256" ht="10.5" customHeight="1" x14ac:dyDescent="0.2">
      <c r="A57" s="176"/>
      <c r="B57" s="177"/>
      <c r="C57" s="177"/>
      <c r="D57" s="177"/>
      <c r="E57" s="177"/>
      <c r="F57" s="177"/>
      <c r="G57" s="177"/>
      <c r="H57" s="177"/>
      <c r="I57" s="177"/>
      <c r="J57" s="177"/>
      <c r="K57" s="177"/>
      <c r="L57" s="177"/>
      <c r="M57" s="177"/>
      <c r="N57" s="177"/>
      <c r="O57" s="177"/>
      <c r="P57" s="177"/>
      <c r="Q57" s="177"/>
      <c r="R57" s="177"/>
      <c r="S57" s="177"/>
      <c r="T57" s="177"/>
      <c r="U57" s="177"/>
      <c r="V57" s="178"/>
      <c r="W57" s="167" t="str">
        <f>IF(CONCATENATE(Eingabe!E1," ", Eingabe!E2)="","",CONCATENATE(Eingabe!E1," ", Eingabe!E2))</f>
        <v>xxHELx xx</v>
      </c>
      <c r="X57" s="168"/>
      <c r="Y57" s="168"/>
      <c r="Z57" s="168"/>
      <c r="AA57" s="168"/>
      <c r="AB57" s="168"/>
      <c r="AC57" s="168"/>
      <c r="AD57" s="168"/>
      <c r="AE57" s="168"/>
      <c r="AF57" s="169"/>
      <c r="AG57" s="167" t="str">
        <f>IF(Eingabe!E4="","",Eingabe!E4)</f>
        <v>MusM</v>
      </c>
      <c r="AH57" s="168"/>
      <c r="AI57" s="168"/>
      <c r="AJ57" s="169"/>
      <c r="AK57" s="152" t="str">
        <f>IF(Eingabe!I3="","",Eingabe!I3)</f>
        <v/>
      </c>
      <c r="AL57" s="153"/>
      <c r="AM57" s="153"/>
      <c r="AN57" s="154"/>
      <c r="AO57" s="152" t="str">
        <f>IF(Eingabe!I4="","",Eingabe!I4)</f>
        <v/>
      </c>
      <c r="AP57" s="153"/>
      <c r="AQ57" s="153"/>
      <c r="AR57" s="154"/>
      <c r="AS57" s="139" t="s">
        <v>37</v>
      </c>
      <c r="AT57" s="140"/>
      <c r="AU57" s="140"/>
      <c r="AV57" s="140"/>
      <c r="AW57" s="140"/>
      <c r="AX57" s="140"/>
      <c r="AY57" s="140"/>
      <c r="AZ57" s="140"/>
      <c r="BA57" s="140"/>
      <c r="BB57" s="140"/>
      <c r="BC57" s="140"/>
      <c r="BD57" s="140"/>
      <c r="BE57" s="140"/>
      <c r="BF57" s="140"/>
      <c r="BG57" s="140"/>
      <c r="BH57" s="141"/>
      <c r="BI57" s="167" t="str">
        <f>IF(Eingabe!I5="","",Eingabe!I5)</f>
        <v>StrH</v>
      </c>
      <c r="BJ57" s="168"/>
      <c r="BK57" s="168"/>
      <c r="BL57" s="168"/>
      <c r="BM57" s="168"/>
      <c r="BN57" s="169"/>
    </row>
    <row r="58" spans="1:256" ht="10.5" customHeight="1" thickBot="1" x14ac:dyDescent="0.25">
      <c r="A58" s="176"/>
      <c r="B58" s="177"/>
      <c r="C58" s="177"/>
      <c r="D58" s="177"/>
      <c r="E58" s="177"/>
      <c r="F58" s="177"/>
      <c r="G58" s="177"/>
      <c r="H58" s="177"/>
      <c r="I58" s="177"/>
      <c r="J58" s="177"/>
      <c r="K58" s="177"/>
      <c r="L58" s="177"/>
      <c r="M58" s="177"/>
      <c r="N58" s="177"/>
      <c r="O58" s="177"/>
      <c r="P58" s="177"/>
      <c r="Q58" s="177"/>
      <c r="R58" s="177"/>
      <c r="S58" s="177"/>
      <c r="T58" s="177"/>
      <c r="U58" s="177"/>
      <c r="V58" s="178"/>
      <c r="W58" s="170"/>
      <c r="X58" s="171"/>
      <c r="Y58" s="171"/>
      <c r="Z58" s="171"/>
      <c r="AA58" s="171"/>
      <c r="AB58" s="171"/>
      <c r="AC58" s="171"/>
      <c r="AD58" s="171"/>
      <c r="AE58" s="171"/>
      <c r="AF58" s="172"/>
      <c r="AG58" s="170"/>
      <c r="AH58" s="171"/>
      <c r="AI58" s="171"/>
      <c r="AJ58" s="172"/>
      <c r="AK58" s="155"/>
      <c r="AL58" s="156"/>
      <c r="AM58" s="156"/>
      <c r="AN58" s="157"/>
      <c r="AO58" s="155"/>
      <c r="AP58" s="156"/>
      <c r="AQ58" s="156"/>
      <c r="AR58" s="157"/>
      <c r="AS58" s="142"/>
      <c r="AT58" s="143"/>
      <c r="AU58" s="143"/>
      <c r="AV58" s="143"/>
      <c r="AW58" s="143"/>
      <c r="AX58" s="143"/>
      <c r="AY58" s="143"/>
      <c r="AZ58" s="143"/>
      <c r="BA58" s="143"/>
      <c r="BB58" s="143"/>
      <c r="BC58" s="143"/>
      <c r="BD58" s="143"/>
      <c r="BE58" s="143"/>
      <c r="BF58" s="143"/>
      <c r="BG58" s="143"/>
      <c r="BH58" s="144"/>
      <c r="BI58" s="170"/>
      <c r="BJ58" s="171"/>
      <c r="BK58" s="171"/>
      <c r="BL58" s="171"/>
      <c r="BM58" s="171"/>
      <c r="BN58" s="172"/>
    </row>
    <row r="59" spans="1:256" ht="10.5" customHeight="1" x14ac:dyDescent="0.2">
      <c r="A59" s="176"/>
      <c r="B59" s="177"/>
      <c r="C59" s="177"/>
      <c r="D59" s="177"/>
      <c r="E59" s="177"/>
      <c r="F59" s="177"/>
      <c r="G59" s="177"/>
      <c r="H59" s="177"/>
      <c r="I59" s="177"/>
      <c r="J59" s="177"/>
      <c r="K59" s="177"/>
      <c r="L59" s="177"/>
      <c r="M59" s="177"/>
      <c r="N59" s="177"/>
      <c r="O59" s="177"/>
      <c r="P59" s="177"/>
      <c r="Q59" s="177"/>
      <c r="R59" s="177"/>
      <c r="S59" s="177"/>
      <c r="T59" s="177"/>
      <c r="U59" s="177"/>
      <c r="V59" s="178"/>
      <c r="W59" s="134" t="s">
        <v>10</v>
      </c>
      <c r="X59" s="135"/>
      <c r="Y59" s="135"/>
      <c r="Z59" s="135"/>
      <c r="AA59" s="135"/>
      <c r="AB59" s="135"/>
      <c r="AC59" s="135"/>
      <c r="AD59" s="135"/>
      <c r="AE59" s="135"/>
      <c r="AF59" s="135"/>
      <c r="AG59" s="135"/>
      <c r="AH59" s="135"/>
      <c r="AI59" s="135"/>
      <c r="AJ59" s="135"/>
      <c r="AK59" s="135"/>
      <c r="AL59" s="135"/>
      <c r="AM59" s="135"/>
      <c r="AN59" s="135"/>
      <c r="AO59" s="135"/>
      <c r="AP59" s="135"/>
      <c r="AQ59" s="135"/>
      <c r="AR59" s="136"/>
      <c r="AS59" s="134" t="s">
        <v>11</v>
      </c>
      <c r="AT59" s="135"/>
      <c r="AU59" s="135"/>
      <c r="AV59" s="135"/>
      <c r="AW59" s="135"/>
      <c r="AX59" s="135"/>
      <c r="AY59" s="136"/>
      <c r="AZ59" s="134" t="s">
        <v>12</v>
      </c>
      <c r="BA59" s="135"/>
      <c r="BB59" s="135"/>
      <c r="BC59" s="135"/>
      <c r="BD59" s="136"/>
      <c r="BE59" s="134" t="s">
        <v>13</v>
      </c>
      <c r="BF59" s="135"/>
      <c r="BG59" s="135"/>
      <c r="BH59" s="135"/>
      <c r="BI59" s="135"/>
      <c r="BJ59" s="135"/>
      <c r="BK59" s="135"/>
      <c r="BL59" s="135"/>
      <c r="BM59" s="135"/>
      <c r="BN59" s="136"/>
    </row>
    <row r="60" spans="1:256" ht="10.5" customHeight="1" x14ac:dyDescent="0.2">
      <c r="A60" s="176"/>
      <c r="B60" s="177"/>
      <c r="C60" s="177"/>
      <c r="D60" s="177"/>
      <c r="E60" s="177"/>
      <c r="F60" s="177"/>
      <c r="G60" s="177"/>
      <c r="H60" s="177"/>
      <c r="I60" s="177"/>
      <c r="J60" s="177"/>
      <c r="K60" s="177"/>
      <c r="L60" s="177"/>
      <c r="M60" s="177"/>
      <c r="N60" s="177"/>
      <c r="O60" s="177"/>
      <c r="P60" s="177"/>
      <c r="Q60" s="177"/>
      <c r="R60" s="177"/>
      <c r="S60" s="177"/>
      <c r="T60" s="177"/>
      <c r="U60" s="177"/>
      <c r="V60" s="178"/>
      <c r="W60" s="179" t="str">
        <f>IF(Eingabe!E5="","",Eingabe!E5)</f>
        <v>Gemini 4</v>
      </c>
      <c r="X60" s="180"/>
      <c r="Y60" s="180"/>
      <c r="Z60" s="180"/>
      <c r="AA60" s="180"/>
      <c r="AB60" s="180"/>
      <c r="AC60" s="180"/>
      <c r="AD60" s="180"/>
      <c r="AE60" s="180"/>
      <c r="AF60" s="180"/>
      <c r="AG60" s="180"/>
      <c r="AH60" s="180"/>
      <c r="AI60" s="180"/>
      <c r="AJ60" s="180"/>
      <c r="AK60" s="180"/>
      <c r="AL60" s="180"/>
      <c r="AM60" s="180"/>
      <c r="AN60" s="180"/>
      <c r="AO60" s="180"/>
      <c r="AP60" s="180"/>
      <c r="AQ60" s="180"/>
      <c r="AR60" s="181"/>
      <c r="AS60" s="219" t="str">
        <f>IF(Eingabe!L3="","",Eingabe!L3)</f>
        <v>4.4</v>
      </c>
      <c r="AT60" s="193"/>
      <c r="AU60" s="193"/>
      <c r="AV60" s="193"/>
      <c r="AW60" s="193"/>
      <c r="AX60" s="193"/>
      <c r="AY60" s="194"/>
      <c r="AZ60" s="219" t="str">
        <f>IF(Eingabe!L4="","",Eingabe!L4)</f>
        <v>002</v>
      </c>
      <c r="BA60" s="193"/>
      <c r="BB60" s="193"/>
      <c r="BC60" s="193"/>
      <c r="BD60" s="194"/>
      <c r="BE60" s="139" t="str">
        <f>IF(Eingabe!L5="","",Eingabe!L5)</f>
        <v>Fertigung</v>
      </c>
      <c r="BF60" s="140"/>
      <c r="BG60" s="140"/>
      <c r="BH60" s="140"/>
      <c r="BI60" s="140"/>
      <c r="BJ60" s="140"/>
      <c r="BK60" s="140"/>
      <c r="BL60" s="140"/>
      <c r="BM60" s="140"/>
      <c r="BN60" s="141"/>
    </row>
    <row r="61" spans="1:256" ht="10.5" customHeight="1" thickBot="1" x14ac:dyDescent="0.25">
      <c r="A61" s="164" t="s">
        <v>14</v>
      </c>
      <c r="B61" s="165"/>
      <c r="C61" s="165"/>
      <c r="D61" s="165"/>
      <c r="E61" s="165"/>
      <c r="F61" s="165"/>
      <c r="G61" s="165"/>
      <c r="H61" s="165"/>
      <c r="I61" s="165"/>
      <c r="J61" s="165"/>
      <c r="K61" s="165"/>
      <c r="L61" s="165"/>
      <c r="M61" s="165"/>
      <c r="N61" s="165"/>
      <c r="O61" s="165"/>
      <c r="P61" s="165"/>
      <c r="Q61" s="165"/>
      <c r="R61" s="165"/>
      <c r="S61" s="165"/>
      <c r="T61" s="165"/>
      <c r="U61" s="165"/>
      <c r="V61" s="166"/>
      <c r="W61" s="179"/>
      <c r="X61" s="180"/>
      <c r="Y61" s="180"/>
      <c r="Z61" s="180"/>
      <c r="AA61" s="180"/>
      <c r="AB61" s="180"/>
      <c r="AC61" s="180"/>
      <c r="AD61" s="180"/>
      <c r="AE61" s="180"/>
      <c r="AF61" s="180"/>
      <c r="AG61" s="180"/>
      <c r="AH61" s="180"/>
      <c r="AI61" s="180"/>
      <c r="AJ61" s="180"/>
      <c r="AK61" s="180"/>
      <c r="AL61" s="180"/>
      <c r="AM61" s="180"/>
      <c r="AN61" s="180"/>
      <c r="AO61" s="180"/>
      <c r="AP61" s="180"/>
      <c r="AQ61" s="180"/>
      <c r="AR61" s="181"/>
      <c r="AS61" s="195"/>
      <c r="AT61" s="196"/>
      <c r="AU61" s="196"/>
      <c r="AV61" s="196"/>
      <c r="AW61" s="196"/>
      <c r="AX61" s="196"/>
      <c r="AY61" s="197"/>
      <c r="AZ61" s="195"/>
      <c r="BA61" s="196"/>
      <c r="BB61" s="196"/>
      <c r="BC61" s="196"/>
      <c r="BD61" s="197"/>
      <c r="BE61" s="142"/>
      <c r="BF61" s="143"/>
      <c r="BG61" s="143"/>
      <c r="BH61" s="143"/>
      <c r="BI61" s="143"/>
      <c r="BJ61" s="143"/>
      <c r="BK61" s="143"/>
      <c r="BL61" s="143"/>
      <c r="BM61" s="143"/>
      <c r="BN61" s="144"/>
    </row>
    <row r="62" spans="1:256" ht="10.5" customHeight="1" x14ac:dyDescent="0.2">
      <c r="A62" s="164"/>
      <c r="B62" s="165"/>
      <c r="C62" s="165"/>
      <c r="D62" s="165"/>
      <c r="E62" s="165"/>
      <c r="F62" s="165"/>
      <c r="G62" s="165"/>
      <c r="H62" s="165"/>
      <c r="I62" s="165"/>
      <c r="J62" s="165"/>
      <c r="K62" s="165"/>
      <c r="L62" s="165"/>
      <c r="M62" s="165"/>
      <c r="N62" s="165"/>
      <c r="O62" s="165"/>
      <c r="P62" s="165"/>
      <c r="Q62" s="165"/>
      <c r="R62" s="165"/>
      <c r="S62" s="165"/>
      <c r="T62" s="165"/>
      <c r="U62" s="165"/>
      <c r="V62" s="166"/>
      <c r="W62" s="179"/>
      <c r="X62" s="180"/>
      <c r="Y62" s="180"/>
      <c r="Z62" s="180"/>
      <c r="AA62" s="180"/>
      <c r="AB62" s="180"/>
      <c r="AC62" s="180"/>
      <c r="AD62" s="180"/>
      <c r="AE62" s="180"/>
      <c r="AF62" s="180"/>
      <c r="AG62" s="180"/>
      <c r="AH62" s="180"/>
      <c r="AI62" s="180"/>
      <c r="AJ62" s="180"/>
      <c r="AK62" s="180"/>
      <c r="AL62" s="180"/>
      <c r="AM62" s="180"/>
      <c r="AN62" s="180"/>
      <c r="AO62" s="180"/>
      <c r="AP62" s="180"/>
      <c r="AQ62" s="180"/>
      <c r="AR62" s="181"/>
      <c r="AS62" s="216" t="s">
        <v>15</v>
      </c>
      <c r="AT62" s="217"/>
      <c r="AU62" s="217"/>
      <c r="AV62" s="218"/>
      <c r="AW62" s="201" t="s">
        <v>16</v>
      </c>
      <c r="AX62" s="202"/>
      <c r="AY62" s="203"/>
      <c r="AZ62" s="134" t="s">
        <v>17</v>
      </c>
      <c r="BA62" s="135"/>
      <c r="BB62" s="135"/>
      <c r="BC62" s="135"/>
      <c r="BD62" s="135"/>
      <c r="BE62" s="135"/>
      <c r="BF62" s="135"/>
      <c r="BG62" s="135"/>
      <c r="BH62" s="136"/>
      <c r="BI62" s="201" t="s">
        <v>18</v>
      </c>
      <c r="BJ62" s="202"/>
      <c r="BK62" s="203"/>
      <c r="BL62" s="14" t="s">
        <v>19</v>
      </c>
      <c r="BM62" s="15"/>
      <c r="BN62" s="16"/>
    </row>
    <row r="63" spans="1:256" ht="10.5" customHeight="1" x14ac:dyDescent="0.2">
      <c r="A63" s="158" t="str">
        <f>IF(Eingabe!M6="","",Eingabe!M6)</f>
        <v>Technische Informatik</v>
      </c>
      <c r="B63" s="159"/>
      <c r="C63" s="159"/>
      <c r="D63" s="159"/>
      <c r="E63" s="159"/>
      <c r="F63" s="159"/>
      <c r="G63" s="159"/>
      <c r="H63" s="159"/>
      <c r="I63" s="159"/>
      <c r="J63" s="159"/>
      <c r="K63" s="159"/>
      <c r="L63" s="159"/>
      <c r="M63" s="159"/>
      <c r="N63" s="159"/>
      <c r="O63" s="159"/>
      <c r="P63" s="159"/>
      <c r="Q63" s="159"/>
      <c r="R63" s="159"/>
      <c r="S63" s="159"/>
      <c r="T63" s="159"/>
      <c r="U63" s="159"/>
      <c r="V63" s="160"/>
      <c r="W63" s="139" t="str">
        <f>IF(Eingabe!E6="","",Eingabe!E6)</f>
        <v>Entwicklerboard</v>
      </c>
      <c r="X63" s="140"/>
      <c r="Y63" s="140"/>
      <c r="Z63" s="140"/>
      <c r="AA63" s="140"/>
      <c r="AB63" s="140"/>
      <c r="AC63" s="140"/>
      <c r="AD63" s="140"/>
      <c r="AE63" s="140"/>
      <c r="AF63" s="140"/>
      <c r="AG63" s="140"/>
      <c r="AH63" s="140"/>
      <c r="AI63" s="140"/>
      <c r="AJ63" s="140"/>
      <c r="AK63" s="140"/>
      <c r="AL63" s="140"/>
      <c r="AM63" s="140"/>
      <c r="AN63" s="140"/>
      <c r="AO63" s="140"/>
      <c r="AP63" s="140"/>
      <c r="AQ63" s="140"/>
      <c r="AR63" s="141"/>
      <c r="AS63" s="152" t="str">
        <f>IF(Eingabe!L6="","",Eingabe!L6)</f>
        <v>ohne</v>
      </c>
      <c r="AT63" s="153"/>
      <c r="AU63" s="153"/>
      <c r="AV63" s="154"/>
      <c r="AW63" s="167" t="str">
        <f>IF(Eingabe!I6="","",Eingabe!I6)</f>
        <v>DE</v>
      </c>
      <c r="AX63" s="168"/>
      <c r="AY63" s="169"/>
      <c r="AZ63" s="204">
        <f ca="1">IF(Eingabe!L2="","",Eingabe!L2)</f>
        <v>42272</v>
      </c>
      <c r="BA63" s="205"/>
      <c r="BB63" s="205"/>
      <c r="BC63" s="205"/>
      <c r="BD63" s="205"/>
      <c r="BE63" s="205"/>
      <c r="BF63" s="205"/>
      <c r="BG63" s="205"/>
      <c r="BH63" s="206"/>
      <c r="BI63" s="152">
        <v>3</v>
      </c>
      <c r="BJ63" s="153"/>
      <c r="BK63" s="154"/>
      <c r="BL63" s="152" t="str">
        <f>IF('Materialkalkulation (2)'!L4="","1",IF('Materialkalkulation (3)'!L4="","2","3"))</f>
        <v>1</v>
      </c>
      <c r="BM63" s="153"/>
      <c r="BN63" s="154"/>
    </row>
    <row r="64" spans="1:256" ht="10.5" customHeight="1" thickBot="1" x14ac:dyDescent="0.25">
      <c r="A64" s="161"/>
      <c r="B64" s="162"/>
      <c r="C64" s="162"/>
      <c r="D64" s="162"/>
      <c r="E64" s="162"/>
      <c r="F64" s="162"/>
      <c r="G64" s="162"/>
      <c r="H64" s="162"/>
      <c r="I64" s="162"/>
      <c r="J64" s="162"/>
      <c r="K64" s="162"/>
      <c r="L64" s="162"/>
      <c r="M64" s="162"/>
      <c r="N64" s="162"/>
      <c r="O64" s="162"/>
      <c r="P64" s="162"/>
      <c r="Q64" s="162"/>
      <c r="R64" s="162"/>
      <c r="S64" s="162"/>
      <c r="T64" s="162"/>
      <c r="U64" s="162"/>
      <c r="V64" s="163"/>
      <c r="W64" s="142"/>
      <c r="X64" s="143"/>
      <c r="Y64" s="143"/>
      <c r="Z64" s="143"/>
      <c r="AA64" s="143"/>
      <c r="AB64" s="143"/>
      <c r="AC64" s="143"/>
      <c r="AD64" s="143"/>
      <c r="AE64" s="143"/>
      <c r="AF64" s="143"/>
      <c r="AG64" s="143"/>
      <c r="AH64" s="143"/>
      <c r="AI64" s="143"/>
      <c r="AJ64" s="143"/>
      <c r="AK64" s="143"/>
      <c r="AL64" s="143"/>
      <c r="AM64" s="143"/>
      <c r="AN64" s="143"/>
      <c r="AO64" s="143"/>
      <c r="AP64" s="143"/>
      <c r="AQ64" s="143"/>
      <c r="AR64" s="144"/>
      <c r="AS64" s="155"/>
      <c r="AT64" s="156"/>
      <c r="AU64" s="156"/>
      <c r="AV64" s="157"/>
      <c r="AW64" s="170"/>
      <c r="AX64" s="171"/>
      <c r="AY64" s="172"/>
      <c r="AZ64" s="207"/>
      <c r="BA64" s="208"/>
      <c r="BB64" s="208"/>
      <c r="BC64" s="208"/>
      <c r="BD64" s="208"/>
      <c r="BE64" s="208"/>
      <c r="BF64" s="208"/>
      <c r="BG64" s="208"/>
      <c r="BH64" s="209"/>
      <c r="BI64" s="155"/>
      <c r="BJ64" s="156"/>
      <c r="BK64" s="157"/>
      <c r="BL64" s="155"/>
      <c r="BM64" s="156"/>
      <c r="BN64" s="157"/>
    </row>
    <row r="65" spans="1:66" x14ac:dyDescent="0.2">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row>
    <row r="68" spans="1:66" ht="14.25" customHeight="1" x14ac:dyDescent="0.2"/>
    <row r="69" spans="1:66" ht="15" customHeight="1" x14ac:dyDescent="0.2"/>
    <row r="71" spans="1:66" ht="14.25" customHeight="1" x14ac:dyDescent="0.2"/>
    <row r="72" spans="1:66" ht="15" customHeight="1" x14ac:dyDescent="0.2"/>
    <row r="74" spans="1:66" ht="14.25" customHeight="1" x14ac:dyDescent="0.2"/>
    <row r="75" spans="1:66" ht="15" customHeight="1" x14ac:dyDescent="0.2"/>
    <row r="76" spans="1:66" ht="14.25" customHeight="1" x14ac:dyDescent="0.2"/>
    <row r="77" spans="1:66" ht="14.25" customHeight="1" x14ac:dyDescent="0.2"/>
    <row r="78" spans="1:66" ht="15" customHeight="1" x14ac:dyDescent="0.2"/>
  </sheetData>
  <sheetProtection sheet="1" objects="1" scenarios="1" selectLockedCells="1"/>
  <mergeCells count="379">
    <mergeCell ref="AH28:BD28"/>
    <mergeCell ref="BE28:BI28"/>
    <mergeCell ref="BJ28:BN28"/>
    <mergeCell ref="AH29:BD29"/>
    <mergeCell ref="BE29:BI29"/>
    <mergeCell ref="BJ29:BN29"/>
    <mergeCell ref="BE37:BI37"/>
    <mergeCell ref="AH32:BD32"/>
    <mergeCell ref="BE32:BI32"/>
    <mergeCell ref="BJ32:BN32"/>
    <mergeCell ref="AH34:BD34"/>
    <mergeCell ref="BE34:BI34"/>
    <mergeCell ref="BE36:BI36"/>
    <mergeCell ref="BJ36:BN36"/>
    <mergeCell ref="BJ37:BN37"/>
    <mergeCell ref="BJ34:BN34"/>
    <mergeCell ref="BE33:BI33"/>
    <mergeCell ref="BJ33:BN33"/>
    <mergeCell ref="AH35:BD35"/>
    <mergeCell ref="BE35:BI35"/>
    <mergeCell ref="BJ35:BN35"/>
    <mergeCell ref="BJ31:BN31"/>
    <mergeCell ref="AH30:BD30"/>
    <mergeCell ref="BE30:BI30"/>
    <mergeCell ref="AH27:BD27"/>
    <mergeCell ref="BE27:BI27"/>
    <mergeCell ref="BJ27:BN27"/>
    <mergeCell ref="AH1:BD1"/>
    <mergeCell ref="BE1:BN1"/>
    <mergeCell ref="AH2:BD3"/>
    <mergeCell ref="BE2:BN2"/>
    <mergeCell ref="BE3:BI3"/>
    <mergeCell ref="BJ3:BN3"/>
    <mergeCell ref="AH4:BD4"/>
    <mergeCell ref="BE4:BI4"/>
    <mergeCell ref="BJ4:BN4"/>
    <mergeCell ref="BJ5:BN5"/>
    <mergeCell ref="AH6:BD6"/>
    <mergeCell ref="BE6:BI6"/>
    <mergeCell ref="BJ6:BN6"/>
    <mergeCell ref="AH5:BD5"/>
    <mergeCell ref="BE5:BI5"/>
    <mergeCell ref="BJ7:BN7"/>
    <mergeCell ref="AH7:BD7"/>
    <mergeCell ref="BE7:BI7"/>
    <mergeCell ref="BJ12:BN12"/>
    <mergeCell ref="BJ25:BN25"/>
    <mergeCell ref="A23:C23"/>
    <mergeCell ref="D23:G23"/>
    <mergeCell ref="A26:C26"/>
    <mergeCell ref="L21:AG21"/>
    <mergeCell ref="L26:AG26"/>
    <mergeCell ref="D11:G11"/>
    <mergeCell ref="H11:K11"/>
    <mergeCell ref="L11:AG11"/>
    <mergeCell ref="H16:K16"/>
    <mergeCell ref="L16:AG16"/>
    <mergeCell ref="D20:G20"/>
    <mergeCell ref="A21:C21"/>
    <mergeCell ref="BE26:BI26"/>
    <mergeCell ref="BJ26:BN26"/>
    <mergeCell ref="BJ8:BN8"/>
    <mergeCell ref="BJ22:BN22"/>
    <mergeCell ref="AH23:BD23"/>
    <mergeCell ref="BE23:BI23"/>
    <mergeCell ref="BJ23:BN23"/>
    <mergeCell ref="BJ13:BN13"/>
    <mergeCell ref="AH16:BD16"/>
    <mergeCell ref="BE16:BI16"/>
    <mergeCell ref="BJ16:BN16"/>
    <mergeCell ref="AH14:BD14"/>
    <mergeCell ref="BE14:BI14"/>
    <mergeCell ref="BJ14:BN14"/>
    <mergeCell ref="BE13:BI13"/>
    <mergeCell ref="AH13:BD13"/>
    <mergeCell ref="BJ15:BN15"/>
    <mergeCell ref="BJ21:BN21"/>
    <mergeCell ref="BJ17:BN17"/>
    <mergeCell ref="BE18:BI18"/>
    <mergeCell ref="AH10:BD10"/>
    <mergeCell ref="BE10:BI10"/>
    <mergeCell ref="BJ10:BN10"/>
    <mergeCell ref="BJ11:BN11"/>
    <mergeCell ref="AH11:BD11"/>
    <mergeCell ref="BJ9:BN9"/>
    <mergeCell ref="BE11:BI11"/>
    <mergeCell ref="AH21:BD21"/>
    <mergeCell ref="A29:C29"/>
    <mergeCell ref="D29:G29"/>
    <mergeCell ref="H29:K29"/>
    <mergeCell ref="L33:AG33"/>
    <mergeCell ref="L27:AG27"/>
    <mergeCell ref="AH17:BD17"/>
    <mergeCell ref="BE25:BI25"/>
    <mergeCell ref="AH24:BD24"/>
    <mergeCell ref="L29:AG29"/>
    <mergeCell ref="AH25:BD25"/>
    <mergeCell ref="L25:AG25"/>
    <mergeCell ref="AH15:BD15"/>
    <mergeCell ref="BE17:BI17"/>
    <mergeCell ref="AH31:BD31"/>
    <mergeCell ref="BE31:BI31"/>
    <mergeCell ref="H19:K19"/>
    <mergeCell ref="L28:AG28"/>
    <mergeCell ref="A27:C27"/>
    <mergeCell ref="D27:G27"/>
    <mergeCell ref="BE15:BI15"/>
    <mergeCell ref="A19:C19"/>
    <mergeCell ref="D19:G19"/>
    <mergeCell ref="BJ30:BN30"/>
    <mergeCell ref="AH26:BD26"/>
    <mergeCell ref="AH8:BD8"/>
    <mergeCell ref="BE8:BI8"/>
    <mergeCell ref="AH18:BD18"/>
    <mergeCell ref="AH9:BD9"/>
    <mergeCell ref="BE9:BI9"/>
    <mergeCell ref="H18:K18"/>
    <mergeCell ref="AH12:BD12"/>
    <mergeCell ref="BE12:BI12"/>
    <mergeCell ref="BJ24:BN24"/>
    <mergeCell ref="AH22:BD22"/>
    <mergeCell ref="BE22:BI22"/>
    <mergeCell ref="AH19:BD19"/>
    <mergeCell ref="BE19:BI19"/>
    <mergeCell ref="BJ19:BN19"/>
    <mergeCell ref="AH20:BD20"/>
    <mergeCell ref="BE20:BI20"/>
    <mergeCell ref="BE21:BI21"/>
    <mergeCell ref="BE24:BI24"/>
    <mergeCell ref="H22:K22"/>
    <mergeCell ref="L22:AG22"/>
    <mergeCell ref="H8:K8"/>
    <mergeCell ref="L8:AG8"/>
    <mergeCell ref="H2:K3"/>
    <mergeCell ref="A16:C16"/>
    <mergeCell ref="D16:G16"/>
    <mergeCell ref="BJ18:BN18"/>
    <mergeCell ref="BJ20:BN20"/>
    <mergeCell ref="L18:AG18"/>
    <mergeCell ref="H20:K20"/>
    <mergeCell ref="L20:AG20"/>
    <mergeCell ref="H15:K15"/>
    <mergeCell ref="L15:AG15"/>
    <mergeCell ref="A18:C18"/>
    <mergeCell ref="D18:G18"/>
    <mergeCell ref="A9:C9"/>
    <mergeCell ref="D9:G9"/>
    <mergeCell ref="H9:K9"/>
    <mergeCell ref="L9:AG9"/>
    <mergeCell ref="D4:G4"/>
    <mergeCell ref="L10:AG10"/>
    <mergeCell ref="H6:K6"/>
    <mergeCell ref="L6:AG6"/>
    <mergeCell ref="H5:K5"/>
    <mergeCell ref="A5:C5"/>
    <mergeCell ref="L5:AG5"/>
    <mergeCell ref="D8:G8"/>
    <mergeCell ref="A1:C1"/>
    <mergeCell ref="D1:G1"/>
    <mergeCell ref="H1:K1"/>
    <mergeCell ref="L1:AG1"/>
    <mergeCell ref="A2:C3"/>
    <mergeCell ref="A17:C17"/>
    <mergeCell ref="D17:G17"/>
    <mergeCell ref="H17:K17"/>
    <mergeCell ref="L17:AG17"/>
    <mergeCell ref="A10:C10"/>
    <mergeCell ref="D10:G10"/>
    <mergeCell ref="D7:G7"/>
    <mergeCell ref="H10:K10"/>
    <mergeCell ref="L2:AG3"/>
    <mergeCell ref="H7:K7"/>
    <mergeCell ref="L7:AG7"/>
    <mergeCell ref="A6:C6"/>
    <mergeCell ref="D6:G6"/>
    <mergeCell ref="D2:G3"/>
    <mergeCell ref="H4:K4"/>
    <mergeCell ref="L4:AG4"/>
    <mergeCell ref="A7:C7"/>
    <mergeCell ref="D5:G5"/>
    <mergeCell ref="A4:C4"/>
    <mergeCell ref="L13:AG13"/>
    <mergeCell ref="A30:C30"/>
    <mergeCell ref="A31:C31"/>
    <mergeCell ref="D31:G31"/>
    <mergeCell ref="A12:C12"/>
    <mergeCell ref="D12:G12"/>
    <mergeCell ref="H12:K12"/>
    <mergeCell ref="A20:C20"/>
    <mergeCell ref="H28:K28"/>
    <mergeCell ref="A15:C15"/>
    <mergeCell ref="D15:G15"/>
    <mergeCell ref="L12:AG12"/>
    <mergeCell ref="D14:G14"/>
    <mergeCell ref="H14:K14"/>
    <mergeCell ref="L14:AG14"/>
    <mergeCell ref="A14:C14"/>
    <mergeCell ref="A13:C13"/>
    <mergeCell ref="D13:G13"/>
    <mergeCell ref="L19:AG19"/>
    <mergeCell ref="H23:K23"/>
    <mergeCell ref="L23:AG23"/>
    <mergeCell ref="D26:G26"/>
    <mergeCell ref="A24:C24"/>
    <mergeCell ref="D24:G24"/>
    <mergeCell ref="A25:C25"/>
    <mergeCell ref="D25:G25"/>
    <mergeCell ref="H25:K25"/>
    <mergeCell ref="H27:K27"/>
    <mergeCell ref="A8:C8"/>
    <mergeCell ref="H13:K13"/>
    <mergeCell ref="A11:C11"/>
    <mergeCell ref="D21:G21"/>
    <mergeCell ref="H21:K21"/>
    <mergeCell ref="A22:C22"/>
    <mergeCell ref="D22:G22"/>
    <mergeCell ref="A39:C39"/>
    <mergeCell ref="D39:G39"/>
    <mergeCell ref="H39:K39"/>
    <mergeCell ref="L39:AG39"/>
    <mergeCell ref="H31:K31"/>
    <mergeCell ref="L31:AG31"/>
    <mergeCell ref="L36:AG36"/>
    <mergeCell ref="A35:C35"/>
    <mergeCell ref="A34:C34"/>
    <mergeCell ref="A32:C32"/>
    <mergeCell ref="H26:K26"/>
    <mergeCell ref="D30:G30"/>
    <mergeCell ref="H30:K30"/>
    <mergeCell ref="A28:C28"/>
    <mergeCell ref="D28:G28"/>
    <mergeCell ref="D32:G32"/>
    <mergeCell ref="H32:K32"/>
    <mergeCell ref="L32:AG32"/>
    <mergeCell ref="H24:K24"/>
    <mergeCell ref="L24:AG24"/>
    <mergeCell ref="D47:G47"/>
    <mergeCell ref="H47:K47"/>
    <mergeCell ref="L47:AG47"/>
    <mergeCell ref="A42:C42"/>
    <mergeCell ref="D42:G42"/>
    <mergeCell ref="D34:G34"/>
    <mergeCell ref="AH33:BD33"/>
    <mergeCell ref="A38:C38"/>
    <mergeCell ref="D38:G38"/>
    <mergeCell ref="H38:K38"/>
    <mergeCell ref="D35:G35"/>
    <mergeCell ref="H35:K35"/>
    <mergeCell ref="A37:C37"/>
    <mergeCell ref="D37:G37"/>
    <mergeCell ref="H37:K37"/>
    <mergeCell ref="AH36:BD36"/>
    <mergeCell ref="AH37:BD37"/>
    <mergeCell ref="AH38:BD38"/>
    <mergeCell ref="A33:C33"/>
    <mergeCell ref="D33:G33"/>
    <mergeCell ref="A45:C45"/>
    <mergeCell ref="D45:G45"/>
    <mergeCell ref="H45:K45"/>
    <mergeCell ref="L45:AG45"/>
    <mergeCell ref="H33:K33"/>
    <mergeCell ref="BE45:BI45"/>
    <mergeCell ref="BJ45:BN45"/>
    <mergeCell ref="AH44:BD44"/>
    <mergeCell ref="H42:K42"/>
    <mergeCell ref="L42:AG42"/>
    <mergeCell ref="H34:K34"/>
    <mergeCell ref="H41:K41"/>
    <mergeCell ref="D46:G46"/>
    <mergeCell ref="H46:K46"/>
    <mergeCell ref="L46:AG46"/>
    <mergeCell ref="L34:AG34"/>
    <mergeCell ref="L38:AG38"/>
    <mergeCell ref="H43:K43"/>
    <mergeCell ref="D43:G43"/>
    <mergeCell ref="BE39:BI39"/>
    <mergeCell ref="BE44:BI44"/>
    <mergeCell ref="BJ44:BN44"/>
    <mergeCell ref="BE46:BI46"/>
    <mergeCell ref="BJ46:BN46"/>
    <mergeCell ref="AH42:BD42"/>
    <mergeCell ref="BE42:BI42"/>
    <mergeCell ref="BJ42:BN42"/>
    <mergeCell ref="AH43:BD43"/>
    <mergeCell ref="A36:C36"/>
    <mergeCell ref="D36:G36"/>
    <mergeCell ref="H36:K36"/>
    <mergeCell ref="BE40:BI40"/>
    <mergeCell ref="BJ40:BN40"/>
    <mergeCell ref="BJ41:BN41"/>
    <mergeCell ref="BE41:BI41"/>
    <mergeCell ref="BJ43:BN43"/>
    <mergeCell ref="AH45:BD45"/>
    <mergeCell ref="BE43:BI43"/>
    <mergeCell ref="BJ39:BN39"/>
    <mergeCell ref="AH40:BD40"/>
    <mergeCell ref="L30:AG30"/>
    <mergeCell ref="BB54:BN55"/>
    <mergeCell ref="AS54:BA55"/>
    <mergeCell ref="A48:C48"/>
    <mergeCell ref="D48:G48"/>
    <mergeCell ref="H48:K48"/>
    <mergeCell ref="L48:AG48"/>
    <mergeCell ref="L43:AG43"/>
    <mergeCell ref="AH41:BD41"/>
    <mergeCell ref="BB53:BN53"/>
    <mergeCell ref="AS53:BA53"/>
    <mergeCell ref="D40:G40"/>
    <mergeCell ref="H40:K40"/>
    <mergeCell ref="L40:AG40"/>
    <mergeCell ref="L35:AG35"/>
    <mergeCell ref="L41:AG41"/>
    <mergeCell ref="A53:V53"/>
    <mergeCell ref="W53:AR53"/>
    <mergeCell ref="A49:AG52"/>
    <mergeCell ref="AH49:BD49"/>
    <mergeCell ref="AH51:BD51"/>
    <mergeCell ref="L37:AG37"/>
    <mergeCell ref="A44:C44"/>
    <mergeCell ref="D44:G44"/>
    <mergeCell ref="A40:C40"/>
    <mergeCell ref="A46:C46"/>
    <mergeCell ref="AS57:BH58"/>
    <mergeCell ref="BI57:BN58"/>
    <mergeCell ref="W56:AF56"/>
    <mergeCell ref="AS56:BH56"/>
    <mergeCell ref="BI56:BN56"/>
    <mergeCell ref="A54:V55"/>
    <mergeCell ref="W54:AR55"/>
    <mergeCell ref="A56:V60"/>
    <mergeCell ref="AG56:AJ56"/>
    <mergeCell ref="AO56:AR56"/>
    <mergeCell ref="W59:AR59"/>
    <mergeCell ref="W57:AF58"/>
    <mergeCell ref="AG57:AJ58"/>
    <mergeCell ref="AK57:AN58"/>
    <mergeCell ref="AK56:AN56"/>
    <mergeCell ref="H44:K44"/>
    <mergeCell ref="A43:C43"/>
    <mergeCell ref="AH46:BD46"/>
    <mergeCell ref="A41:C41"/>
    <mergeCell ref="D41:G41"/>
    <mergeCell ref="L44:AG44"/>
    <mergeCell ref="A47:C47"/>
    <mergeCell ref="AS59:AY59"/>
    <mergeCell ref="AZ59:BD59"/>
    <mergeCell ref="AZ60:BD61"/>
    <mergeCell ref="BE59:BN59"/>
    <mergeCell ref="AS60:AY61"/>
    <mergeCell ref="AO57:AR58"/>
    <mergeCell ref="BE38:BI38"/>
    <mergeCell ref="BJ38:BN38"/>
    <mergeCell ref="AH39:BD39"/>
    <mergeCell ref="AH52:BD52"/>
    <mergeCell ref="BE49:BN49"/>
    <mergeCell ref="BE50:BN50"/>
    <mergeCell ref="AH50:BD50"/>
    <mergeCell ref="AH48:BD48"/>
    <mergeCell ref="BE48:BI48"/>
    <mergeCell ref="BJ48:BN48"/>
    <mergeCell ref="BE52:BN52"/>
    <mergeCell ref="BE47:BI47"/>
    <mergeCell ref="BJ47:BN47"/>
    <mergeCell ref="AH47:BD47"/>
    <mergeCell ref="BE51:BN51"/>
    <mergeCell ref="A63:V64"/>
    <mergeCell ref="A61:V62"/>
    <mergeCell ref="BE60:BN61"/>
    <mergeCell ref="AS62:AV62"/>
    <mergeCell ref="AW62:AY62"/>
    <mergeCell ref="AZ62:BH62"/>
    <mergeCell ref="BI62:BK62"/>
    <mergeCell ref="W60:AR62"/>
    <mergeCell ref="W63:AR64"/>
    <mergeCell ref="AS63:AV64"/>
    <mergeCell ref="AW63:AY64"/>
    <mergeCell ref="AZ63:BH64"/>
    <mergeCell ref="BI63:BK64"/>
    <mergeCell ref="BL63:BN64"/>
  </mergeCells>
  <pageMargins left="0.78740157480314965" right="0.39370078740157483" top="0.39370078740157483" bottom="0.39370078740157483" header="0.23622047244094491" footer="0.23622047244094491"/>
  <pageSetup paperSize="9" fitToWidth="0" fitToHeight="0"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AA8E51D873EFA146A425191F525B4F98" ma:contentTypeVersion="0" ma:contentTypeDescription="Ein neues Dokument erstellen." ma:contentTypeScope="" ma:versionID="6b0e656a8e26c17bb93ad1388c308da2">
  <xsd:schema xmlns:xsd="http://www.w3.org/2001/XMLSchema" xmlns:p="http://schemas.microsoft.com/office/2006/metadata/properties" targetNamespace="http://schemas.microsoft.com/office/2006/metadata/properties" ma:root="true" ma:fieldsID="246f02dd96380beb4f7cdcce14d77fd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ma:readOnly="tru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1764B8F-556E-4BF1-B189-6CF2AB38A4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EE3B1C5-DEA9-4127-A6A9-8B640E763636}">
  <ds:schemaRefs>
    <ds:schemaRef ds:uri="http://purl.org/dc/dcmitype/"/>
    <ds:schemaRef ds:uri="http://schemas.microsoft.com/office/2006/metadata/properties"/>
    <ds:schemaRef ds:uri="http://schemas.openxmlformats.org/package/2006/metadata/core-properties"/>
    <ds:schemaRef ds:uri="http://schemas.microsoft.com/office/2006/documentManagement/types"/>
    <ds:schemaRef ds:uri="http://purl.org/dc/terms/"/>
    <ds:schemaRef ds:uri="http://purl.org/dc/elements/1.1/"/>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171E0718-252E-4D17-A7D1-B5E4BB5DBA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1</vt:i4>
      </vt:variant>
    </vt:vector>
  </HeadingPairs>
  <TitlesOfParts>
    <vt:vector size="10" baseType="lpstr">
      <vt:lpstr>Eingabe</vt:lpstr>
      <vt:lpstr>Stückliste (1)</vt:lpstr>
      <vt:lpstr>Stückliste (2)</vt:lpstr>
      <vt:lpstr>Stückliste (3)</vt:lpstr>
      <vt:lpstr>Stückliste (4)</vt:lpstr>
      <vt:lpstr>Stückliste (5)</vt:lpstr>
      <vt:lpstr>Materialkalkulation (1)</vt:lpstr>
      <vt:lpstr>Materialkalkulation (2)</vt:lpstr>
      <vt:lpstr>Materialkalkulation (3)</vt:lpstr>
      <vt:lpstr>Eingabe!Druckbereich</vt:lpstr>
    </vt:vector>
  </TitlesOfParts>
  <Company>HTBLuVA Salzburg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Poettinger</dc:creator>
  <cp:lastModifiedBy>Robert Pöttinger</cp:lastModifiedBy>
  <cp:lastPrinted>2013-05-17T11:12:04Z</cp:lastPrinted>
  <dcterms:created xsi:type="dcterms:W3CDTF">2010-10-04T10:56:03Z</dcterms:created>
  <dcterms:modified xsi:type="dcterms:W3CDTF">2015-09-25T09:09:48Z</dcterms:modified>
</cp:coreProperties>
</file>